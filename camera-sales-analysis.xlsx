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Desktop\camera Distribution folder\"/>
    </mc:Choice>
  </mc:AlternateContent>
  <xr:revisionPtr revIDLastSave="0" documentId="13_ncr:1_{07E59C9A-F707-4054-9EF0-FDEF66AAE210}" xr6:coauthVersionLast="47" xr6:coauthVersionMax="47" xr10:uidLastSave="{00000000-0000-0000-0000-000000000000}"/>
  <bookViews>
    <workbookView xWindow="-120" yWindow="-120" windowWidth="20730" windowHeight="11160" xr2:uid="{00000000-000D-0000-FFFF-FFFF00000000}"/>
  </bookViews>
  <sheets>
    <sheet name="pivot 1" sheetId="3" r:id="rId1"/>
    <sheet name="pivot2" sheetId="6" r:id="rId2"/>
    <sheet name="Dashboard" sheetId="7" r:id="rId3"/>
    <sheet name="Eurovision Imaging Ltd" sheetId="1" r:id="rId4"/>
  </sheets>
  <definedNames>
    <definedName name="_xlcn.WorksheetConnection_AmakaProject.xlsxTable_1" hidden="1">Table_1[]</definedName>
    <definedName name="Slicer_Buyer_Type">#N/A</definedName>
    <definedName name="Slicer_Country">#N/A</definedName>
    <definedName name="Slicer_Discount_Band">#N/A</definedName>
    <definedName name="Slicer_Product">#N/A</definedName>
  </definedNames>
  <calcPr calcId="191029"/>
  <pivotCaches>
    <pivotCache cacheId="16" r:id="rId5"/>
    <pivotCache cacheId="17" r:id="rId6"/>
    <pivotCache cacheId="18" r:id="rId7"/>
    <pivotCache cacheId="19" r:id="rId8"/>
    <pivotCache cacheId="21" r:id="rId9"/>
    <pivotCache cacheId="22" r:id="rId10"/>
    <pivotCache cacheId="23" r:id="rId11"/>
    <pivotCache cacheId="24" r:id="rId12"/>
    <pivotCache cacheId="27" r:id="rId13"/>
    <pivotCache cacheId="32" r:id="rId14"/>
    <pivotCache cacheId="35" r:id="rId15"/>
    <pivotCache cacheId="38" r:id="rId16"/>
  </pivotCaches>
  <extLst>
    <ext xmlns:x14="http://schemas.microsoft.com/office/spreadsheetml/2009/9/main" uri="{876F7934-8845-4945-9796-88D515C7AA90}">
      <x14:pivotCaches>
        <pivotCache cacheId="12"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Amaka Project.xlsx!Table_1"/>
        </x15:modelTables>
        <x15:extLst>
          <ext xmlns:x16="http://schemas.microsoft.com/office/spreadsheetml/2014/11/main" uri="{9835A34E-60A6-4A7C-AAB8-D5F71C897F49}">
            <x16:modelTimeGroupings>
              <x16:modelTimeGrouping tableName="Table_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2" roundtripDataChecksum="RBoC95AXBulq9nLAHS5IBvzx6q2WlXmUvaDHf7H9vB0="/>
    </ext>
  </extLst>
</workbook>
</file>

<file path=xl/calcChain.xml><?xml version="1.0" encoding="utf-8"?>
<calcChain xmlns="http://schemas.openxmlformats.org/spreadsheetml/2006/main">
  <c r="M526" i="1" l="1"/>
  <c r="L526" i="1"/>
  <c r="J526" i="1"/>
  <c r="M525" i="1"/>
  <c r="J525" i="1"/>
  <c r="L525" i="1" s="1"/>
  <c r="M524" i="1"/>
  <c r="J524" i="1"/>
  <c r="L524" i="1" s="1"/>
  <c r="M523" i="1"/>
  <c r="J523" i="1"/>
  <c r="L523" i="1" s="1"/>
  <c r="M522" i="1"/>
  <c r="L522" i="1"/>
  <c r="J522" i="1"/>
  <c r="M521" i="1"/>
  <c r="J521" i="1"/>
  <c r="L521" i="1" s="1"/>
  <c r="M520" i="1"/>
  <c r="J520" i="1"/>
  <c r="L520" i="1" s="1"/>
  <c r="M519" i="1"/>
  <c r="J519" i="1"/>
  <c r="L519" i="1" s="1"/>
  <c r="M518" i="1"/>
  <c r="L518" i="1"/>
  <c r="J518" i="1"/>
  <c r="M517" i="1"/>
  <c r="J517" i="1"/>
  <c r="L517" i="1" s="1"/>
  <c r="M516" i="1"/>
  <c r="J516" i="1"/>
  <c r="L516" i="1" s="1"/>
  <c r="M515" i="1"/>
  <c r="J515" i="1"/>
  <c r="L515" i="1" s="1"/>
  <c r="M514" i="1"/>
  <c r="L514" i="1"/>
  <c r="J514" i="1"/>
  <c r="M513" i="1"/>
  <c r="J513" i="1"/>
  <c r="L513" i="1" s="1"/>
  <c r="M512" i="1"/>
  <c r="J512" i="1"/>
  <c r="L512" i="1" s="1"/>
  <c r="M511" i="1"/>
  <c r="J511" i="1"/>
  <c r="L511" i="1" s="1"/>
  <c r="M510" i="1"/>
  <c r="L510" i="1"/>
  <c r="J510" i="1"/>
  <c r="M509" i="1"/>
  <c r="J509" i="1"/>
  <c r="L509" i="1" s="1"/>
  <c r="M508" i="1"/>
  <c r="J508" i="1"/>
  <c r="L508" i="1" s="1"/>
  <c r="M507" i="1"/>
  <c r="J507" i="1"/>
  <c r="L507" i="1" s="1"/>
  <c r="M506" i="1"/>
  <c r="L506" i="1"/>
  <c r="J506" i="1"/>
  <c r="M505" i="1"/>
  <c r="J505" i="1"/>
  <c r="L505" i="1" s="1"/>
  <c r="M504" i="1"/>
  <c r="J504" i="1"/>
  <c r="L504" i="1" s="1"/>
  <c r="M503" i="1"/>
  <c r="J503" i="1"/>
  <c r="L503" i="1" s="1"/>
  <c r="M502" i="1"/>
  <c r="L502" i="1"/>
  <c r="J502" i="1"/>
  <c r="M501" i="1"/>
  <c r="J501" i="1"/>
  <c r="L501" i="1" s="1"/>
  <c r="M500" i="1"/>
  <c r="J500" i="1"/>
  <c r="L500" i="1" s="1"/>
  <c r="M499" i="1"/>
  <c r="J499" i="1"/>
  <c r="L499" i="1" s="1"/>
  <c r="M498" i="1"/>
  <c r="L498" i="1"/>
  <c r="J498" i="1"/>
  <c r="M497" i="1"/>
  <c r="J497" i="1"/>
  <c r="L497" i="1" s="1"/>
  <c r="M496" i="1"/>
  <c r="J496" i="1"/>
  <c r="L496" i="1" s="1"/>
  <c r="M495" i="1"/>
  <c r="J495" i="1"/>
  <c r="L495" i="1" s="1"/>
  <c r="M494" i="1"/>
  <c r="L494" i="1"/>
  <c r="J494" i="1"/>
  <c r="M493" i="1"/>
  <c r="J493" i="1"/>
  <c r="L493" i="1" s="1"/>
  <c r="M492" i="1"/>
  <c r="J492" i="1"/>
  <c r="L492" i="1" s="1"/>
  <c r="M491" i="1"/>
  <c r="J491" i="1"/>
  <c r="L491" i="1" s="1"/>
  <c r="M490" i="1"/>
  <c r="L490" i="1"/>
  <c r="J490" i="1"/>
  <c r="M489" i="1"/>
  <c r="J489" i="1"/>
  <c r="L489" i="1" s="1"/>
  <c r="M488" i="1"/>
  <c r="J488" i="1"/>
  <c r="L488" i="1" s="1"/>
  <c r="M487" i="1"/>
  <c r="J487" i="1"/>
  <c r="L487" i="1" s="1"/>
  <c r="M486" i="1"/>
  <c r="L486" i="1"/>
  <c r="J486" i="1"/>
  <c r="M485" i="1"/>
  <c r="J485" i="1"/>
  <c r="L485" i="1" s="1"/>
  <c r="M484" i="1"/>
  <c r="J484" i="1"/>
  <c r="L484" i="1" s="1"/>
  <c r="M483" i="1"/>
  <c r="J483" i="1"/>
  <c r="L483" i="1" s="1"/>
  <c r="M482" i="1"/>
  <c r="L482" i="1"/>
  <c r="J482" i="1"/>
  <c r="M481" i="1"/>
  <c r="J481" i="1"/>
  <c r="L481" i="1" s="1"/>
  <c r="M480" i="1"/>
  <c r="J480" i="1"/>
  <c r="L480" i="1" s="1"/>
  <c r="M479" i="1"/>
  <c r="J479" i="1"/>
  <c r="L479" i="1" s="1"/>
  <c r="M478" i="1"/>
  <c r="L478" i="1"/>
  <c r="J478" i="1"/>
  <c r="M477" i="1"/>
  <c r="J477" i="1"/>
  <c r="L477" i="1" s="1"/>
  <c r="M476" i="1"/>
  <c r="J476" i="1"/>
  <c r="L476" i="1" s="1"/>
  <c r="M475" i="1"/>
  <c r="J475" i="1"/>
  <c r="L475" i="1" s="1"/>
  <c r="M474" i="1"/>
  <c r="L474" i="1"/>
  <c r="J474" i="1"/>
  <c r="M473" i="1"/>
  <c r="J473" i="1"/>
  <c r="L473" i="1" s="1"/>
  <c r="M472" i="1"/>
  <c r="J472" i="1"/>
  <c r="L472" i="1" s="1"/>
  <c r="M471" i="1"/>
  <c r="J471" i="1"/>
  <c r="L471" i="1" s="1"/>
  <c r="M470" i="1"/>
  <c r="L470" i="1"/>
  <c r="J470" i="1"/>
  <c r="M469" i="1"/>
  <c r="J469" i="1"/>
  <c r="L469" i="1" s="1"/>
  <c r="M468" i="1"/>
  <c r="J468" i="1"/>
  <c r="L468" i="1" s="1"/>
  <c r="M467" i="1"/>
  <c r="J467" i="1"/>
  <c r="L467" i="1" s="1"/>
  <c r="M466" i="1"/>
  <c r="L466" i="1"/>
  <c r="J466" i="1"/>
  <c r="M465" i="1"/>
  <c r="J465" i="1"/>
  <c r="L465" i="1" s="1"/>
  <c r="M464" i="1"/>
  <c r="J464" i="1"/>
  <c r="L464" i="1" s="1"/>
  <c r="M463" i="1"/>
  <c r="J463" i="1"/>
  <c r="L463" i="1" s="1"/>
  <c r="M462" i="1"/>
  <c r="L462" i="1"/>
  <c r="J462" i="1"/>
  <c r="M461" i="1"/>
  <c r="J461" i="1"/>
  <c r="L461" i="1" s="1"/>
  <c r="M460" i="1"/>
  <c r="J460" i="1"/>
  <c r="L460" i="1" s="1"/>
  <c r="M459" i="1"/>
  <c r="J459" i="1"/>
  <c r="L459" i="1" s="1"/>
  <c r="M458" i="1"/>
  <c r="L458" i="1"/>
  <c r="J458" i="1"/>
  <c r="M457" i="1"/>
  <c r="J457" i="1"/>
  <c r="L457" i="1" s="1"/>
  <c r="M456" i="1"/>
  <c r="J456" i="1"/>
  <c r="L456" i="1" s="1"/>
  <c r="M455" i="1"/>
  <c r="J455" i="1"/>
  <c r="L455" i="1" s="1"/>
  <c r="M454" i="1"/>
  <c r="L454" i="1"/>
  <c r="J454" i="1"/>
  <c r="M453" i="1"/>
  <c r="J453" i="1"/>
  <c r="L453" i="1" s="1"/>
  <c r="M452" i="1"/>
  <c r="J452" i="1"/>
  <c r="L452" i="1" s="1"/>
  <c r="M451" i="1"/>
  <c r="J451" i="1"/>
  <c r="L451" i="1" s="1"/>
  <c r="M450" i="1"/>
  <c r="L450" i="1"/>
  <c r="J450" i="1"/>
  <c r="M449" i="1"/>
  <c r="J449" i="1"/>
  <c r="L449" i="1" s="1"/>
  <c r="M448" i="1"/>
  <c r="J448" i="1"/>
  <c r="L448" i="1" s="1"/>
  <c r="M447" i="1"/>
  <c r="J447" i="1"/>
  <c r="L447" i="1" s="1"/>
  <c r="M446" i="1"/>
  <c r="L446" i="1"/>
  <c r="J446" i="1"/>
  <c r="M445" i="1"/>
  <c r="J445" i="1"/>
  <c r="L445" i="1" s="1"/>
  <c r="M444" i="1"/>
  <c r="J444" i="1"/>
  <c r="L444" i="1" s="1"/>
  <c r="M443" i="1"/>
  <c r="J443" i="1"/>
  <c r="L443" i="1" s="1"/>
  <c r="M442" i="1"/>
  <c r="L442" i="1"/>
  <c r="J442" i="1"/>
  <c r="M441" i="1"/>
  <c r="J441" i="1"/>
  <c r="L441" i="1" s="1"/>
  <c r="M440" i="1"/>
  <c r="J440" i="1"/>
  <c r="L440" i="1" s="1"/>
  <c r="M439" i="1"/>
  <c r="J439" i="1"/>
  <c r="L439" i="1" s="1"/>
  <c r="M438" i="1"/>
  <c r="L438" i="1"/>
  <c r="J438" i="1"/>
  <c r="M437" i="1"/>
  <c r="J437" i="1"/>
  <c r="L437" i="1" s="1"/>
  <c r="M436" i="1"/>
  <c r="J436" i="1"/>
  <c r="L436" i="1" s="1"/>
  <c r="M435" i="1"/>
  <c r="J435" i="1"/>
  <c r="L435" i="1" s="1"/>
  <c r="M434" i="1"/>
  <c r="L434" i="1"/>
  <c r="J434" i="1"/>
  <c r="M433" i="1"/>
  <c r="J433" i="1"/>
  <c r="L433" i="1" s="1"/>
  <c r="M432" i="1"/>
  <c r="J432" i="1"/>
  <c r="L432" i="1" s="1"/>
  <c r="M431" i="1"/>
  <c r="J431" i="1"/>
  <c r="L431" i="1" s="1"/>
  <c r="M430" i="1"/>
  <c r="L430" i="1"/>
  <c r="J430" i="1"/>
  <c r="M429" i="1"/>
  <c r="J429" i="1"/>
  <c r="L429" i="1" s="1"/>
  <c r="M428" i="1"/>
  <c r="J428" i="1"/>
  <c r="L428" i="1" s="1"/>
  <c r="M427" i="1"/>
  <c r="J427" i="1"/>
  <c r="L427" i="1" s="1"/>
  <c r="M426" i="1"/>
  <c r="L426" i="1"/>
  <c r="J426" i="1"/>
  <c r="M425" i="1"/>
  <c r="J425" i="1"/>
  <c r="L425" i="1" s="1"/>
  <c r="M424" i="1"/>
  <c r="J424" i="1"/>
  <c r="L424" i="1" s="1"/>
  <c r="M423" i="1"/>
  <c r="J423" i="1"/>
  <c r="L423" i="1" s="1"/>
  <c r="M422" i="1"/>
  <c r="L422" i="1"/>
  <c r="J422" i="1"/>
  <c r="M421" i="1"/>
  <c r="J421" i="1"/>
  <c r="L421" i="1" s="1"/>
  <c r="M420" i="1"/>
  <c r="J420" i="1"/>
  <c r="L420" i="1" s="1"/>
  <c r="M419" i="1"/>
  <c r="J419" i="1"/>
  <c r="L419" i="1" s="1"/>
  <c r="M418" i="1"/>
  <c r="L418" i="1"/>
  <c r="J418" i="1"/>
  <c r="M417" i="1"/>
  <c r="J417" i="1"/>
  <c r="L417" i="1" s="1"/>
  <c r="M416" i="1"/>
  <c r="J416" i="1"/>
  <c r="L416" i="1" s="1"/>
  <c r="M415" i="1"/>
  <c r="J415" i="1"/>
  <c r="L415" i="1" s="1"/>
  <c r="M414" i="1"/>
  <c r="L414" i="1"/>
  <c r="J414" i="1"/>
  <c r="M413" i="1"/>
  <c r="J413" i="1"/>
  <c r="L413" i="1" s="1"/>
  <c r="M412" i="1"/>
  <c r="J412" i="1"/>
  <c r="L412" i="1" s="1"/>
  <c r="M411" i="1"/>
  <c r="J411" i="1"/>
  <c r="L411" i="1" s="1"/>
  <c r="M410" i="1"/>
  <c r="L410" i="1"/>
  <c r="J410" i="1"/>
  <c r="M409" i="1"/>
  <c r="J409" i="1"/>
  <c r="L409" i="1" s="1"/>
  <c r="M408" i="1"/>
  <c r="J408" i="1"/>
  <c r="L408" i="1" s="1"/>
  <c r="M407" i="1"/>
  <c r="J407" i="1"/>
  <c r="L407" i="1" s="1"/>
  <c r="M406" i="1"/>
  <c r="L406" i="1"/>
  <c r="J406" i="1"/>
  <c r="M405" i="1"/>
  <c r="J405" i="1"/>
  <c r="L405" i="1" s="1"/>
  <c r="M404" i="1"/>
  <c r="J404" i="1"/>
  <c r="L404" i="1" s="1"/>
  <c r="M403" i="1"/>
  <c r="J403" i="1"/>
  <c r="L403" i="1" s="1"/>
  <c r="M402" i="1"/>
  <c r="L402" i="1"/>
  <c r="J402" i="1"/>
  <c r="M401" i="1"/>
  <c r="J401" i="1"/>
  <c r="L401" i="1" s="1"/>
  <c r="M400" i="1"/>
  <c r="J400" i="1"/>
  <c r="L400" i="1" s="1"/>
  <c r="M399" i="1"/>
  <c r="J399" i="1"/>
  <c r="L399" i="1" s="1"/>
  <c r="M398" i="1"/>
  <c r="L398" i="1"/>
  <c r="J398" i="1"/>
  <c r="M397" i="1"/>
  <c r="J397" i="1"/>
  <c r="L397" i="1" s="1"/>
  <c r="M396" i="1"/>
  <c r="J396" i="1"/>
  <c r="L396" i="1" s="1"/>
  <c r="M395" i="1"/>
  <c r="J395" i="1"/>
  <c r="L395" i="1" s="1"/>
  <c r="M394" i="1"/>
  <c r="L394" i="1"/>
  <c r="J394" i="1"/>
  <c r="M393" i="1"/>
  <c r="J393" i="1"/>
  <c r="L393" i="1" s="1"/>
  <c r="M392" i="1"/>
  <c r="J392" i="1"/>
  <c r="L392" i="1" s="1"/>
  <c r="M391" i="1"/>
  <c r="J391" i="1"/>
  <c r="L391" i="1" s="1"/>
  <c r="M390" i="1"/>
  <c r="L390" i="1"/>
  <c r="J390" i="1"/>
  <c r="M389" i="1"/>
  <c r="J389" i="1"/>
  <c r="L389" i="1" s="1"/>
  <c r="M388" i="1"/>
  <c r="J388" i="1"/>
  <c r="L388" i="1" s="1"/>
  <c r="M387" i="1"/>
  <c r="J387" i="1"/>
  <c r="L387" i="1" s="1"/>
  <c r="M386" i="1"/>
  <c r="L386" i="1"/>
  <c r="J386" i="1"/>
  <c r="M385" i="1"/>
  <c r="J385" i="1"/>
  <c r="L385" i="1" s="1"/>
  <c r="M384" i="1"/>
  <c r="J384" i="1"/>
  <c r="L384" i="1" s="1"/>
  <c r="M383" i="1"/>
  <c r="J383" i="1"/>
  <c r="L383" i="1" s="1"/>
  <c r="M382" i="1"/>
  <c r="L382" i="1"/>
  <c r="J382" i="1"/>
  <c r="M381" i="1"/>
  <c r="J381" i="1"/>
  <c r="L381" i="1" s="1"/>
  <c r="M380" i="1"/>
  <c r="J380" i="1"/>
  <c r="L380" i="1" s="1"/>
  <c r="M379" i="1"/>
  <c r="J379" i="1"/>
  <c r="L379" i="1" s="1"/>
  <c r="M378" i="1"/>
  <c r="L378" i="1"/>
  <c r="J378" i="1"/>
  <c r="M377" i="1"/>
  <c r="J377" i="1"/>
  <c r="L377" i="1" s="1"/>
  <c r="M376" i="1"/>
  <c r="J376" i="1"/>
  <c r="L376" i="1" s="1"/>
  <c r="M375" i="1"/>
  <c r="J375" i="1"/>
  <c r="L375" i="1" s="1"/>
  <c r="M374" i="1"/>
  <c r="L374" i="1"/>
  <c r="J374" i="1"/>
  <c r="M373" i="1"/>
  <c r="J373" i="1"/>
  <c r="L373" i="1" s="1"/>
  <c r="M372" i="1"/>
  <c r="J372" i="1"/>
  <c r="L372" i="1" s="1"/>
  <c r="M371" i="1"/>
  <c r="J371" i="1"/>
  <c r="L371" i="1" s="1"/>
  <c r="M370" i="1"/>
  <c r="L370" i="1"/>
  <c r="J370" i="1"/>
  <c r="M369" i="1"/>
  <c r="J369" i="1"/>
  <c r="L369" i="1" s="1"/>
  <c r="M368" i="1"/>
  <c r="J368" i="1"/>
  <c r="L368" i="1" s="1"/>
  <c r="M367" i="1"/>
  <c r="J367" i="1"/>
  <c r="L367" i="1" s="1"/>
  <c r="M366" i="1"/>
  <c r="L366" i="1"/>
  <c r="J366" i="1"/>
  <c r="M365" i="1"/>
  <c r="J365" i="1"/>
  <c r="L365" i="1" s="1"/>
  <c r="M364" i="1"/>
  <c r="J364" i="1"/>
  <c r="L364" i="1" s="1"/>
  <c r="M363" i="1"/>
  <c r="J363" i="1"/>
  <c r="L363" i="1" s="1"/>
  <c r="M362" i="1"/>
  <c r="L362" i="1"/>
  <c r="J362" i="1"/>
  <c r="M361" i="1"/>
  <c r="J361" i="1"/>
  <c r="L361" i="1" s="1"/>
  <c r="M360" i="1"/>
  <c r="J360" i="1"/>
  <c r="L360" i="1" s="1"/>
  <c r="M359" i="1"/>
  <c r="J359" i="1"/>
  <c r="L359" i="1" s="1"/>
  <c r="M358" i="1"/>
  <c r="L358" i="1"/>
  <c r="J358" i="1"/>
  <c r="M357" i="1"/>
  <c r="J357" i="1"/>
  <c r="L357" i="1" s="1"/>
  <c r="M356" i="1"/>
  <c r="J356" i="1"/>
  <c r="L356" i="1" s="1"/>
  <c r="M355" i="1"/>
  <c r="J355" i="1"/>
  <c r="L355" i="1" s="1"/>
  <c r="M354" i="1"/>
  <c r="L354" i="1"/>
  <c r="J354" i="1"/>
  <c r="M353" i="1"/>
  <c r="J353" i="1"/>
  <c r="L353" i="1" s="1"/>
  <c r="M352" i="1"/>
  <c r="J352" i="1"/>
  <c r="L352" i="1" s="1"/>
  <c r="M351" i="1"/>
  <c r="J351" i="1"/>
  <c r="L351" i="1" s="1"/>
  <c r="M350" i="1"/>
  <c r="L350" i="1"/>
  <c r="J350" i="1"/>
  <c r="M349" i="1"/>
  <c r="J349" i="1"/>
  <c r="L349" i="1" s="1"/>
  <c r="M348" i="1"/>
  <c r="J348" i="1"/>
  <c r="L348" i="1" s="1"/>
  <c r="M347" i="1"/>
  <c r="J347" i="1"/>
  <c r="L347" i="1" s="1"/>
  <c r="M346" i="1"/>
  <c r="L346" i="1"/>
  <c r="J346" i="1"/>
  <c r="M345" i="1"/>
  <c r="J345" i="1"/>
  <c r="L345" i="1" s="1"/>
  <c r="M344" i="1"/>
  <c r="J344" i="1"/>
  <c r="L344" i="1" s="1"/>
  <c r="M343" i="1"/>
  <c r="J343" i="1"/>
  <c r="L343" i="1" s="1"/>
  <c r="M342" i="1"/>
  <c r="L342" i="1"/>
  <c r="J342" i="1"/>
  <c r="M341" i="1"/>
  <c r="J341" i="1"/>
  <c r="L341" i="1" s="1"/>
  <c r="M340" i="1"/>
  <c r="J340" i="1"/>
  <c r="L340" i="1" s="1"/>
  <c r="M339" i="1"/>
  <c r="J339" i="1"/>
  <c r="L339" i="1" s="1"/>
  <c r="M338" i="1"/>
  <c r="L338" i="1"/>
  <c r="J338" i="1"/>
  <c r="M337" i="1"/>
  <c r="J337" i="1"/>
  <c r="L337" i="1" s="1"/>
  <c r="M336" i="1"/>
  <c r="J336" i="1"/>
  <c r="L336" i="1" s="1"/>
  <c r="M335" i="1"/>
  <c r="J335" i="1"/>
  <c r="L335" i="1" s="1"/>
  <c r="M334" i="1"/>
  <c r="L334" i="1"/>
  <c r="J334" i="1"/>
  <c r="M333" i="1"/>
  <c r="J333" i="1"/>
  <c r="L333" i="1" s="1"/>
  <c r="M332" i="1"/>
  <c r="J332" i="1"/>
  <c r="L332" i="1" s="1"/>
  <c r="M331" i="1"/>
  <c r="J331" i="1"/>
  <c r="L331" i="1" s="1"/>
  <c r="M330" i="1"/>
  <c r="L330" i="1"/>
  <c r="J330" i="1"/>
  <c r="M329" i="1"/>
  <c r="J329" i="1"/>
  <c r="L329" i="1" s="1"/>
  <c r="M328" i="1"/>
  <c r="J328" i="1"/>
  <c r="L328" i="1" s="1"/>
  <c r="M327" i="1"/>
  <c r="J327" i="1"/>
  <c r="L327" i="1" s="1"/>
  <c r="M326" i="1"/>
  <c r="L326" i="1"/>
  <c r="J326" i="1"/>
  <c r="M325" i="1"/>
  <c r="J325" i="1"/>
  <c r="L325" i="1" s="1"/>
  <c r="M324" i="1"/>
  <c r="J324" i="1"/>
  <c r="L324" i="1" s="1"/>
  <c r="M323" i="1"/>
  <c r="J323" i="1"/>
  <c r="L323" i="1" s="1"/>
  <c r="M322" i="1"/>
  <c r="L322" i="1"/>
  <c r="J322" i="1"/>
  <c r="M321" i="1"/>
  <c r="J321" i="1"/>
  <c r="L321" i="1" s="1"/>
  <c r="M320" i="1"/>
  <c r="J320" i="1"/>
  <c r="L320" i="1" s="1"/>
  <c r="M319" i="1"/>
  <c r="J319" i="1"/>
  <c r="L319" i="1" s="1"/>
  <c r="M318" i="1"/>
  <c r="L318" i="1"/>
  <c r="J318" i="1"/>
  <c r="M317" i="1"/>
  <c r="J317" i="1"/>
  <c r="L317" i="1" s="1"/>
  <c r="M316" i="1"/>
  <c r="J316" i="1"/>
  <c r="L316" i="1" s="1"/>
  <c r="M315" i="1"/>
  <c r="J315" i="1"/>
  <c r="L315" i="1" s="1"/>
  <c r="M314" i="1"/>
  <c r="L314" i="1"/>
  <c r="J314" i="1"/>
  <c r="M313" i="1"/>
  <c r="J313" i="1"/>
  <c r="L313" i="1" s="1"/>
  <c r="M312" i="1"/>
  <c r="J312" i="1"/>
  <c r="L312" i="1" s="1"/>
  <c r="M311" i="1"/>
  <c r="J311" i="1"/>
  <c r="L311" i="1" s="1"/>
  <c r="M310" i="1"/>
  <c r="L310" i="1"/>
  <c r="J310" i="1"/>
  <c r="M309" i="1"/>
  <c r="J309" i="1"/>
  <c r="L309" i="1" s="1"/>
  <c r="M308" i="1"/>
  <c r="J308" i="1"/>
  <c r="L308" i="1" s="1"/>
  <c r="M307" i="1"/>
  <c r="J307" i="1"/>
  <c r="L307" i="1" s="1"/>
  <c r="M306" i="1"/>
  <c r="L306" i="1"/>
  <c r="J306" i="1"/>
  <c r="M305" i="1"/>
  <c r="J305" i="1"/>
  <c r="L305" i="1" s="1"/>
  <c r="M304" i="1"/>
  <c r="J304" i="1"/>
  <c r="L304" i="1" s="1"/>
  <c r="M303" i="1"/>
  <c r="J303" i="1"/>
  <c r="L303" i="1" s="1"/>
  <c r="M302" i="1"/>
  <c r="L302" i="1"/>
  <c r="J302" i="1"/>
  <c r="M301" i="1"/>
  <c r="J301" i="1"/>
  <c r="L301" i="1" s="1"/>
  <c r="M300" i="1"/>
  <c r="J300" i="1"/>
  <c r="L300" i="1" s="1"/>
  <c r="M299" i="1"/>
  <c r="J299" i="1"/>
  <c r="L299" i="1" s="1"/>
  <c r="M298" i="1"/>
  <c r="L298" i="1"/>
  <c r="J298" i="1"/>
  <c r="M297" i="1"/>
  <c r="J297" i="1"/>
  <c r="L297" i="1" s="1"/>
  <c r="M296" i="1"/>
  <c r="J296" i="1"/>
  <c r="L296" i="1" s="1"/>
  <c r="M295" i="1"/>
  <c r="J295" i="1"/>
  <c r="L295" i="1" s="1"/>
  <c r="M294" i="1"/>
  <c r="L294" i="1"/>
  <c r="J294" i="1"/>
  <c r="M293" i="1"/>
  <c r="J293" i="1"/>
  <c r="L293" i="1" s="1"/>
  <c r="M292" i="1"/>
  <c r="J292" i="1"/>
  <c r="L292" i="1" s="1"/>
  <c r="M291" i="1"/>
  <c r="J291" i="1"/>
  <c r="L291" i="1" s="1"/>
  <c r="M290" i="1"/>
  <c r="L290" i="1"/>
  <c r="J290" i="1"/>
  <c r="M289" i="1"/>
  <c r="J289" i="1"/>
  <c r="L289" i="1" s="1"/>
  <c r="M288" i="1"/>
  <c r="L288" i="1"/>
  <c r="J288" i="1"/>
  <c r="M287" i="1"/>
  <c r="J287" i="1"/>
  <c r="L287" i="1" s="1"/>
  <c r="M286" i="1"/>
  <c r="L286" i="1"/>
  <c r="J286" i="1"/>
  <c r="M285" i="1"/>
  <c r="J285" i="1"/>
  <c r="L285" i="1" s="1"/>
  <c r="M284" i="1"/>
  <c r="L284" i="1"/>
  <c r="J284" i="1"/>
  <c r="M283" i="1"/>
  <c r="J283" i="1"/>
  <c r="L283" i="1" s="1"/>
  <c r="M282" i="1"/>
  <c r="L282" i="1"/>
  <c r="J282" i="1"/>
  <c r="M281" i="1"/>
  <c r="J281" i="1"/>
  <c r="L281" i="1" s="1"/>
  <c r="M280" i="1"/>
  <c r="L280" i="1"/>
  <c r="J280" i="1"/>
  <c r="M279" i="1"/>
  <c r="J279" i="1"/>
  <c r="L279" i="1" s="1"/>
  <c r="M278" i="1"/>
  <c r="L278" i="1"/>
  <c r="J278" i="1"/>
  <c r="M277" i="1"/>
  <c r="J277" i="1"/>
  <c r="L277" i="1" s="1"/>
  <c r="M276" i="1"/>
  <c r="L276" i="1"/>
  <c r="J276" i="1"/>
  <c r="M275" i="1"/>
  <c r="J275" i="1"/>
  <c r="L275" i="1" s="1"/>
  <c r="M274" i="1"/>
  <c r="L274" i="1"/>
  <c r="J274" i="1"/>
  <c r="M273" i="1"/>
  <c r="J273" i="1"/>
  <c r="L273" i="1" s="1"/>
  <c r="M272" i="1"/>
  <c r="L272" i="1"/>
  <c r="J272" i="1"/>
  <c r="M271" i="1"/>
  <c r="J271" i="1"/>
  <c r="L271" i="1" s="1"/>
  <c r="M270" i="1"/>
  <c r="L270" i="1"/>
  <c r="J270" i="1"/>
  <c r="M269" i="1"/>
  <c r="J269" i="1"/>
  <c r="L269" i="1" s="1"/>
  <c r="M268" i="1"/>
  <c r="L268" i="1"/>
  <c r="J268" i="1"/>
  <c r="M267" i="1"/>
  <c r="J267" i="1"/>
  <c r="L267" i="1" s="1"/>
  <c r="M266" i="1"/>
  <c r="L266" i="1"/>
  <c r="J266" i="1"/>
  <c r="M265" i="1"/>
  <c r="J265" i="1"/>
  <c r="L265" i="1" s="1"/>
  <c r="M264" i="1"/>
  <c r="L264" i="1"/>
  <c r="J264" i="1"/>
  <c r="M263" i="1"/>
  <c r="J263" i="1"/>
  <c r="L263" i="1" s="1"/>
  <c r="M262" i="1"/>
  <c r="L262" i="1"/>
  <c r="J262" i="1"/>
  <c r="M261" i="1"/>
  <c r="J261" i="1"/>
  <c r="L261" i="1" s="1"/>
  <c r="M260" i="1"/>
  <c r="J260" i="1"/>
  <c r="L260" i="1" s="1"/>
  <c r="M259" i="1"/>
  <c r="J259" i="1"/>
  <c r="L259" i="1" s="1"/>
  <c r="M258" i="1"/>
  <c r="L258" i="1"/>
  <c r="J258" i="1"/>
  <c r="M257" i="1"/>
  <c r="J257" i="1"/>
  <c r="L257" i="1" s="1"/>
  <c r="M256" i="1"/>
  <c r="L256" i="1"/>
  <c r="J256" i="1"/>
  <c r="M255" i="1"/>
  <c r="J255" i="1"/>
  <c r="L255" i="1" s="1"/>
  <c r="M254" i="1"/>
  <c r="L254" i="1"/>
  <c r="J254" i="1"/>
  <c r="M253" i="1"/>
  <c r="L253" i="1"/>
  <c r="J253" i="1"/>
  <c r="M252" i="1"/>
  <c r="J252" i="1"/>
  <c r="L252" i="1" s="1"/>
  <c r="M251" i="1"/>
  <c r="J251" i="1"/>
  <c r="L251" i="1" s="1"/>
  <c r="M250" i="1"/>
  <c r="L250" i="1"/>
  <c r="J250" i="1"/>
  <c r="M249" i="1"/>
  <c r="J249" i="1"/>
  <c r="L249" i="1" s="1"/>
  <c r="M248" i="1"/>
  <c r="J248" i="1"/>
  <c r="L248" i="1" s="1"/>
  <c r="M247" i="1"/>
  <c r="J247" i="1"/>
  <c r="L247" i="1" s="1"/>
  <c r="M246" i="1"/>
  <c r="L246" i="1"/>
  <c r="J246" i="1"/>
  <c r="M245" i="1"/>
  <c r="J245" i="1"/>
  <c r="L245" i="1" s="1"/>
  <c r="M244" i="1"/>
  <c r="L244" i="1"/>
  <c r="J244" i="1"/>
  <c r="M243" i="1"/>
  <c r="J243" i="1"/>
  <c r="L243" i="1" s="1"/>
  <c r="M242" i="1"/>
  <c r="L242" i="1"/>
  <c r="J242" i="1"/>
  <c r="M241" i="1"/>
  <c r="L241" i="1"/>
  <c r="J241" i="1"/>
  <c r="M240" i="1"/>
  <c r="L240" i="1"/>
  <c r="J240" i="1"/>
  <c r="M239" i="1"/>
  <c r="J239" i="1"/>
  <c r="L239" i="1" s="1"/>
  <c r="M238" i="1"/>
  <c r="L238" i="1"/>
  <c r="J238" i="1"/>
  <c r="M237" i="1"/>
  <c r="L237" i="1"/>
  <c r="J237" i="1"/>
  <c r="M236" i="1"/>
  <c r="J236" i="1"/>
  <c r="L236" i="1" s="1"/>
  <c r="M235" i="1"/>
  <c r="J235" i="1"/>
  <c r="L235" i="1" s="1"/>
  <c r="M234" i="1"/>
  <c r="L234" i="1"/>
  <c r="J234" i="1"/>
  <c r="M233" i="1"/>
  <c r="J233" i="1"/>
  <c r="L233" i="1" s="1"/>
  <c r="M232" i="1"/>
  <c r="J232" i="1"/>
  <c r="L232" i="1" s="1"/>
  <c r="M231" i="1"/>
  <c r="J231" i="1"/>
  <c r="L231" i="1" s="1"/>
  <c r="M230" i="1"/>
  <c r="L230" i="1"/>
  <c r="J230" i="1"/>
  <c r="M229" i="1"/>
  <c r="J229" i="1"/>
  <c r="L229" i="1" s="1"/>
  <c r="M228" i="1"/>
  <c r="L228" i="1"/>
  <c r="J228" i="1"/>
  <c r="M227" i="1"/>
  <c r="J227" i="1"/>
  <c r="L227" i="1" s="1"/>
  <c r="M226" i="1"/>
  <c r="L226" i="1"/>
  <c r="J226" i="1"/>
  <c r="M225" i="1"/>
  <c r="L225" i="1"/>
  <c r="J225" i="1"/>
  <c r="M224" i="1"/>
  <c r="L224" i="1"/>
  <c r="J224" i="1"/>
  <c r="M223" i="1"/>
  <c r="J223" i="1"/>
  <c r="L223" i="1" s="1"/>
  <c r="M222" i="1"/>
  <c r="L222" i="1"/>
  <c r="J222" i="1"/>
  <c r="M221" i="1"/>
  <c r="L221" i="1"/>
  <c r="J221" i="1"/>
  <c r="M220" i="1"/>
  <c r="J220" i="1"/>
  <c r="L220" i="1" s="1"/>
  <c r="M219" i="1"/>
  <c r="J219" i="1"/>
  <c r="L219" i="1" s="1"/>
  <c r="M218" i="1"/>
  <c r="L218" i="1"/>
  <c r="J218" i="1"/>
  <c r="M217" i="1"/>
  <c r="J217" i="1"/>
  <c r="L217" i="1" s="1"/>
  <c r="M216" i="1"/>
  <c r="J216" i="1"/>
  <c r="L216" i="1" s="1"/>
  <c r="M215" i="1"/>
  <c r="J215" i="1"/>
  <c r="L215" i="1" s="1"/>
  <c r="M214" i="1"/>
  <c r="L214" i="1"/>
  <c r="J214" i="1"/>
  <c r="M213" i="1"/>
  <c r="J213" i="1"/>
  <c r="L213" i="1" s="1"/>
  <c r="M212" i="1"/>
  <c r="L212" i="1"/>
  <c r="J212" i="1"/>
  <c r="M211" i="1"/>
  <c r="J211" i="1"/>
  <c r="L211" i="1" s="1"/>
  <c r="M210" i="1"/>
  <c r="L210" i="1"/>
  <c r="J210" i="1"/>
  <c r="M209" i="1"/>
  <c r="L209" i="1"/>
  <c r="J209" i="1"/>
  <c r="M208" i="1"/>
  <c r="L208" i="1"/>
  <c r="J208" i="1"/>
  <c r="M207" i="1"/>
  <c r="J207" i="1"/>
  <c r="L207" i="1" s="1"/>
  <c r="M206" i="1"/>
  <c r="L206" i="1"/>
  <c r="J206" i="1"/>
  <c r="M205" i="1"/>
  <c r="L205" i="1"/>
  <c r="J205" i="1"/>
  <c r="M204" i="1"/>
  <c r="J204" i="1"/>
  <c r="L204" i="1" s="1"/>
  <c r="M203" i="1"/>
  <c r="J203" i="1"/>
  <c r="L203" i="1" s="1"/>
  <c r="M202" i="1"/>
  <c r="L202" i="1"/>
  <c r="J202" i="1"/>
  <c r="M201" i="1"/>
  <c r="J201" i="1"/>
  <c r="L201" i="1" s="1"/>
  <c r="M200" i="1"/>
  <c r="J200" i="1"/>
  <c r="L200" i="1" s="1"/>
  <c r="M199" i="1"/>
  <c r="J199" i="1"/>
  <c r="L199" i="1" s="1"/>
  <c r="M198" i="1"/>
  <c r="L198" i="1"/>
  <c r="J198" i="1"/>
  <c r="M197" i="1"/>
  <c r="J197" i="1"/>
  <c r="L197" i="1" s="1"/>
  <c r="M196" i="1"/>
  <c r="L196" i="1"/>
  <c r="J196" i="1"/>
  <c r="M195" i="1"/>
  <c r="J195" i="1"/>
  <c r="L195" i="1" s="1"/>
  <c r="M194" i="1"/>
  <c r="L194" i="1"/>
  <c r="J194" i="1"/>
  <c r="M193" i="1"/>
  <c r="L193" i="1"/>
  <c r="J193" i="1"/>
  <c r="M192" i="1"/>
  <c r="L192" i="1"/>
  <c r="J192" i="1"/>
  <c r="M191" i="1"/>
  <c r="J191" i="1"/>
  <c r="L191" i="1" s="1"/>
  <c r="M190" i="1"/>
  <c r="L190" i="1"/>
  <c r="J190" i="1"/>
  <c r="M189" i="1"/>
  <c r="L189" i="1"/>
  <c r="J189" i="1"/>
  <c r="M188" i="1"/>
  <c r="J188" i="1"/>
  <c r="L188" i="1" s="1"/>
  <c r="M187" i="1"/>
  <c r="J187" i="1"/>
  <c r="L187" i="1" s="1"/>
  <c r="M186" i="1"/>
  <c r="L186" i="1"/>
  <c r="J186" i="1"/>
  <c r="M185" i="1"/>
  <c r="J185" i="1"/>
  <c r="L185" i="1" s="1"/>
  <c r="M184" i="1"/>
  <c r="J184" i="1"/>
  <c r="L184" i="1" s="1"/>
  <c r="M183" i="1"/>
  <c r="L183" i="1"/>
  <c r="J183" i="1"/>
  <c r="M182" i="1"/>
  <c r="L182" i="1"/>
  <c r="J182" i="1"/>
  <c r="M181" i="1"/>
  <c r="J181" i="1"/>
  <c r="L181" i="1" s="1"/>
  <c r="M180" i="1"/>
  <c r="J180" i="1"/>
  <c r="L180" i="1" s="1"/>
  <c r="M179" i="1"/>
  <c r="L179" i="1"/>
  <c r="J179" i="1"/>
  <c r="M178" i="1"/>
  <c r="L178" i="1"/>
  <c r="J178" i="1"/>
  <c r="M177" i="1"/>
  <c r="J177" i="1"/>
  <c r="L177" i="1" s="1"/>
  <c r="M176" i="1"/>
  <c r="J176" i="1"/>
  <c r="L176" i="1" s="1"/>
  <c r="M175" i="1"/>
  <c r="L175" i="1"/>
  <c r="J175" i="1"/>
  <c r="M174" i="1"/>
  <c r="L174" i="1"/>
  <c r="J174" i="1"/>
  <c r="M173" i="1"/>
  <c r="J173" i="1"/>
  <c r="L173" i="1" s="1"/>
  <c r="M172" i="1"/>
  <c r="J172" i="1"/>
  <c r="L172" i="1" s="1"/>
  <c r="M171" i="1"/>
  <c r="L171" i="1"/>
  <c r="J171" i="1"/>
  <c r="M170" i="1"/>
  <c r="L170" i="1"/>
  <c r="J170" i="1"/>
  <c r="M169" i="1"/>
  <c r="J169" i="1"/>
  <c r="L169" i="1" s="1"/>
  <c r="M168" i="1"/>
  <c r="J168" i="1"/>
  <c r="L168" i="1" s="1"/>
  <c r="M167" i="1"/>
  <c r="L167" i="1"/>
  <c r="J167" i="1"/>
  <c r="M166" i="1"/>
  <c r="L166" i="1"/>
  <c r="J166" i="1"/>
  <c r="M165" i="1"/>
  <c r="J165" i="1"/>
  <c r="L165" i="1" s="1"/>
  <c r="M164" i="1"/>
  <c r="J164" i="1"/>
  <c r="L164" i="1" s="1"/>
  <c r="M163" i="1"/>
  <c r="L163" i="1"/>
  <c r="J163" i="1"/>
  <c r="M162" i="1"/>
  <c r="L162" i="1"/>
  <c r="J162" i="1"/>
  <c r="M161" i="1"/>
  <c r="J161" i="1"/>
  <c r="L161" i="1" s="1"/>
  <c r="M160" i="1"/>
  <c r="J160" i="1"/>
  <c r="L160" i="1" s="1"/>
  <c r="M159" i="1"/>
  <c r="L159" i="1"/>
  <c r="J159" i="1"/>
  <c r="M158" i="1"/>
  <c r="L158" i="1"/>
  <c r="J158" i="1"/>
  <c r="M157" i="1"/>
  <c r="J157" i="1"/>
  <c r="L157" i="1" s="1"/>
  <c r="M156" i="1"/>
  <c r="J156" i="1"/>
  <c r="L156" i="1" s="1"/>
  <c r="M155" i="1"/>
  <c r="L155" i="1"/>
  <c r="J155" i="1"/>
  <c r="M154" i="1"/>
  <c r="L154" i="1"/>
  <c r="J154" i="1"/>
  <c r="M153" i="1"/>
  <c r="J153" i="1"/>
  <c r="L153" i="1" s="1"/>
  <c r="M152" i="1"/>
  <c r="J152" i="1"/>
  <c r="L152" i="1" s="1"/>
  <c r="M151" i="1"/>
  <c r="L151" i="1"/>
  <c r="J151" i="1"/>
  <c r="M150" i="1"/>
  <c r="L150" i="1"/>
  <c r="J150" i="1"/>
  <c r="M149" i="1"/>
  <c r="J149" i="1"/>
  <c r="L149" i="1" s="1"/>
  <c r="M148" i="1"/>
  <c r="J148" i="1"/>
  <c r="L148" i="1" s="1"/>
  <c r="M147" i="1"/>
  <c r="L147" i="1"/>
  <c r="J147" i="1"/>
  <c r="M146" i="1"/>
  <c r="L146" i="1"/>
  <c r="J146" i="1"/>
  <c r="M145" i="1"/>
  <c r="J145" i="1"/>
  <c r="L145" i="1" s="1"/>
  <c r="M144" i="1"/>
  <c r="J144" i="1"/>
  <c r="L144" i="1" s="1"/>
  <c r="M143" i="1"/>
  <c r="L143" i="1"/>
  <c r="J143" i="1"/>
  <c r="M142" i="1"/>
  <c r="L142" i="1"/>
  <c r="J142" i="1"/>
  <c r="M141" i="1"/>
  <c r="J141" i="1"/>
  <c r="L141" i="1" s="1"/>
  <c r="M140" i="1"/>
  <c r="J140" i="1"/>
  <c r="L140" i="1" s="1"/>
  <c r="M139" i="1"/>
  <c r="L139" i="1"/>
  <c r="J139" i="1"/>
  <c r="M138" i="1"/>
  <c r="L138" i="1"/>
  <c r="J138" i="1"/>
  <c r="M137" i="1"/>
  <c r="J137" i="1"/>
  <c r="L137" i="1" s="1"/>
  <c r="M136" i="1"/>
  <c r="J136" i="1"/>
  <c r="L136" i="1" s="1"/>
  <c r="M135" i="1"/>
  <c r="L135" i="1"/>
  <c r="J135" i="1"/>
  <c r="M134" i="1"/>
  <c r="L134" i="1"/>
  <c r="J134" i="1"/>
  <c r="M133" i="1"/>
  <c r="J133" i="1"/>
  <c r="L133" i="1" s="1"/>
  <c r="M132" i="1"/>
  <c r="J132" i="1"/>
  <c r="L132" i="1" s="1"/>
  <c r="M131" i="1"/>
  <c r="L131" i="1"/>
  <c r="J131" i="1"/>
  <c r="M130" i="1"/>
  <c r="L130" i="1"/>
  <c r="J130" i="1"/>
  <c r="M129" i="1"/>
  <c r="J129" i="1"/>
  <c r="L129" i="1" s="1"/>
  <c r="M128" i="1"/>
  <c r="J128" i="1"/>
  <c r="L128" i="1" s="1"/>
  <c r="M127" i="1"/>
  <c r="L127" i="1"/>
  <c r="J127" i="1"/>
  <c r="M126" i="1"/>
  <c r="L126" i="1"/>
  <c r="J126" i="1"/>
  <c r="M125" i="1"/>
  <c r="J125" i="1"/>
  <c r="L125" i="1" s="1"/>
  <c r="M124" i="1"/>
  <c r="J124" i="1"/>
  <c r="L124" i="1" s="1"/>
  <c r="M123" i="1"/>
  <c r="L123" i="1"/>
  <c r="J123" i="1"/>
  <c r="M122" i="1"/>
  <c r="L122" i="1"/>
  <c r="J122" i="1"/>
  <c r="M121" i="1"/>
  <c r="J121" i="1"/>
  <c r="L121" i="1" s="1"/>
  <c r="M120" i="1"/>
  <c r="J120" i="1"/>
  <c r="L120" i="1" s="1"/>
  <c r="M119" i="1"/>
  <c r="L119" i="1"/>
  <c r="J119" i="1"/>
  <c r="M118" i="1"/>
  <c r="L118" i="1"/>
  <c r="J118" i="1"/>
  <c r="M117" i="1"/>
  <c r="J117" i="1"/>
  <c r="L117" i="1" s="1"/>
  <c r="M116" i="1"/>
  <c r="J116" i="1"/>
  <c r="L116" i="1" s="1"/>
  <c r="M115" i="1"/>
  <c r="L115" i="1"/>
  <c r="J115" i="1"/>
  <c r="M114" i="1"/>
  <c r="L114" i="1"/>
  <c r="J114" i="1"/>
  <c r="M113" i="1"/>
  <c r="J113" i="1"/>
  <c r="L113" i="1" s="1"/>
  <c r="M112" i="1"/>
  <c r="J112" i="1"/>
  <c r="L112" i="1" s="1"/>
  <c r="M111" i="1"/>
  <c r="L111" i="1"/>
  <c r="J111" i="1"/>
  <c r="M110" i="1"/>
  <c r="L110" i="1"/>
  <c r="J110" i="1"/>
  <c r="M109" i="1"/>
  <c r="J109" i="1"/>
  <c r="L109" i="1" s="1"/>
  <c r="M108" i="1"/>
  <c r="J108" i="1"/>
  <c r="L108" i="1" s="1"/>
  <c r="M107" i="1"/>
  <c r="L107" i="1"/>
  <c r="J107" i="1"/>
  <c r="M106" i="1"/>
  <c r="L106" i="1"/>
  <c r="J106" i="1"/>
  <c r="M105" i="1"/>
  <c r="J105" i="1"/>
  <c r="L105" i="1" s="1"/>
  <c r="M104" i="1"/>
  <c r="J104" i="1"/>
  <c r="L104" i="1" s="1"/>
  <c r="M103" i="1"/>
  <c r="L103" i="1"/>
  <c r="J103" i="1"/>
  <c r="M102" i="1"/>
  <c r="L102" i="1"/>
  <c r="J102" i="1"/>
  <c r="M101" i="1"/>
  <c r="J101" i="1"/>
  <c r="L101" i="1" s="1"/>
  <c r="M100" i="1"/>
  <c r="J100" i="1"/>
  <c r="L100" i="1" s="1"/>
  <c r="M99" i="1"/>
  <c r="L99" i="1"/>
  <c r="J99" i="1"/>
  <c r="M98" i="1"/>
  <c r="L98" i="1"/>
  <c r="J98" i="1"/>
  <c r="M97" i="1"/>
  <c r="J97" i="1"/>
  <c r="L97" i="1" s="1"/>
  <c r="M96" i="1"/>
  <c r="J96" i="1"/>
  <c r="L96" i="1" s="1"/>
  <c r="M95" i="1"/>
  <c r="L95" i="1"/>
  <c r="J95" i="1"/>
  <c r="M94" i="1"/>
  <c r="L94" i="1"/>
  <c r="J94" i="1"/>
  <c r="M93" i="1"/>
  <c r="J93" i="1"/>
  <c r="L93" i="1" s="1"/>
  <c r="M92" i="1"/>
  <c r="J92" i="1"/>
  <c r="L92" i="1" s="1"/>
  <c r="M91" i="1"/>
  <c r="L91" i="1"/>
  <c r="J91" i="1"/>
  <c r="M90" i="1"/>
  <c r="L90" i="1"/>
  <c r="J90" i="1"/>
  <c r="M89" i="1"/>
  <c r="J89" i="1"/>
  <c r="L89" i="1" s="1"/>
  <c r="M88" i="1"/>
  <c r="J88" i="1"/>
  <c r="L88" i="1" s="1"/>
  <c r="M87" i="1"/>
  <c r="L87" i="1"/>
  <c r="J87" i="1"/>
  <c r="M86" i="1"/>
  <c r="L86" i="1"/>
  <c r="J86" i="1"/>
  <c r="M85" i="1"/>
  <c r="J85" i="1"/>
  <c r="L85" i="1" s="1"/>
  <c r="M84" i="1"/>
  <c r="J84" i="1"/>
  <c r="L84" i="1" s="1"/>
  <c r="M83" i="1"/>
  <c r="L83" i="1"/>
  <c r="J83" i="1"/>
  <c r="M82" i="1"/>
  <c r="L82" i="1"/>
  <c r="J82" i="1"/>
  <c r="M81" i="1"/>
  <c r="J81" i="1"/>
  <c r="L81" i="1" s="1"/>
  <c r="M80" i="1"/>
  <c r="J80" i="1"/>
  <c r="L80" i="1" s="1"/>
  <c r="M79" i="1"/>
  <c r="L79" i="1"/>
  <c r="J79" i="1"/>
  <c r="M78" i="1"/>
  <c r="L78" i="1"/>
  <c r="J78" i="1"/>
  <c r="M77" i="1"/>
  <c r="J77" i="1"/>
  <c r="L77" i="1" s="1"/>
  <c r="M76" i="1"/>
  <c r="J76" i="1"/>
  <c r="L76" i="1" s="1"/>
  <c r="M75" i="1"/>
  <c r="L75" i="1"/>
  <c r="J75" i="1"/>
  <c r="M74" i="1"/>
  <c r="L74" i="1"/>
  <c r="J74" i="1"/>
  <c r="M73" i="1"/>
  <c r="J73" i="1"/>
  <c r="L73" i="1" s="1"/>
  <c r="M72" i="1"/>
  <c r="J72" i="1"/>
  <c r="L72" i="1" s="1"/>
  <c r="M71" i="1"/>
  <c r="L71" i="1"/>
  <c r="J71" i="1"/>
  <c r="M70" i="1"/>
  <c r="L70" i="1"/>
  <c r="J70" i="1"/>
  <c r="M69" i="1"/>
  <c r="J69" i="1"/>
  <c r="L69" i="1" s="1"/>
  <c r="M68" i="1"/>
  <c r="J68" i="1"/>
  <c r="L68" i="1" s="1"/>
  <c r="M67" i="1"/>
  <c r="L67" i="1"/>
  <c r="J67" i="1"/>
  <c r="M66" i="1"/>
  <c r="L66" i="1"/>
  <c r="J66" i="1"/>
  <c r="M65" i="1"/>
  <c r="J65" i="1"/>
  <c r="L65" i="1" s="1"/>
  <c r="M64" i="1"/>
  <c r="J64" i="1"/>
  <c r="L64" i="1" s="1"/>
  <c r="M63" i="1"/>
  <c r="L63" i="1"/>
  <c r="J63" i="1"/>
  <c r="M62" i="1"/>
  <c r="L62" i="1"/>
  <c r="J62" i="1"/>
  <c r="M61" i="1"/>
  <c r="J61" i="1"/>
  <c r="L61" i="1" s="1"/>
  <c r="M60" i="1"/>
  <c r="J60" i="1"/>
  <c r="L60" i="1" s="1"/>
  <c r="M59" i="1"/>
  <c r="L59" i="1"/>
  <c r="J59" i="1"/>
  <c r="M58" i="1"/>
  <c r="L58" i="1"/>
  <c r="J58" i="1"/>
  <c r="M57" i="1"/>
  <c r="J57" i="1"/>
  <c r="L57" i="1" s="1"/>
  <c r="M56" i="1"/>
  <c r="J56" i="1"/>
  <c r="L56" i="1" s="1"/>
  <c r="M55" i="1"/>
  <c r="L55" i="1"/>
  <c r="J55" i="1"/>
  <c r="M54" i="1"/>
  <c r="L54" i="1"/>
  <c r="J54" i="1"/>
  <c r="M53" i="1"/>
  <c r="J53" i="1"/>
  <c r="L53" i="1" s="1"/>
  <c r="M52" i="1"/>
  <c r="J52" i="1"/>
  <c r="L52" i="1" s="1"/>
  <c r="M51" i="1"/>
  <c r="L51" i="1"/>
  <c r="J51" i="1"/>
  <c r="M50" i="1"/>
  <c r="L50" i="1"/>
  <c r="J50" i="1"/>
  <c r="M49" i="1"/>
  <c r="J49" i="1"/>
  <c r="L49" i="1" s="1"/>
  <c r="M48" i="1"/>
  <c r="J48" i="1"/>
  <c r="L48" i="1" s="1"/>
  <c r="M47" i="1"/>
  <c r="L47" i="1"/>
  <c r="J47" i="1"/>
  <c r="M46" i="1"/>
  <c r="L46" i="1"/>
  <c r="J46" i="1"/>
  <c r="M45" i="1"/>
  <c r="J45" i="1"/>
  <c r="L45" i="1" s="1"/>
  <c r="M44" i="1"/>
  <c r="J44" i="1"/>
  <c r="L44" i="1" s="1"/>
  <c r="M43" i="1"/>
  <c r="L43" i="1"/>
  <c r="J43" i="1"/>
  <c r="M42" i="1"/>
  <c r="L42" i="1"/>
  <c r="J42" i="1"/>
  <c r="M41" i="1"/>
  <c r="J41" i="1"/>
  <c r="L41" i="1" s="1"/>
  <c r="M40" i="1"/>
  <c r="J40" i="1"/>
  <c r="L40" i="1" s="1"/>
  <c r="M39" i="1"/>
  <c r="L39" i="1"/>
  <c r="J39" i="1"/>
  <c r="M38" i="1"/>
  <c r="L38" i="1"/>
  <c r="J38" i="1"/>
  <c r="M37" i="1"/>
  <c r="J37" i="1"/>
  <c r="L37" i="1" s="1"/>
  <c r="M36" i="1"/>
  <c r="J36" i="1"/>
  <c r="L36" i="1" s="1"/>
  <c r="M35" i="1"/>
  <c r="L35" i="1"/>
  <c r="J35" i="1"/>
  <c r="M34" i="1"/>
  <c r="L34" i="1"/>
  <c r="J34" i="1"/>
  <c r="M33" i="1"/>
  <c r="L33" i="1"/>
  <c r="J33" i="1"/>
  <c r="M32" i="1"/>
  <c r="J32" i="1"/>
  <c r="L32" i="1" s="1"/>
  <c r="M31" i="1"/>
  <c r="L31" i="1"/>
  <c r="J31" i="1"/>
  <c r="M30" i="1"/>
  <c r="L30" i="1"/>
  <c r="J30" i="1"/>
  <c r="M29" i="1"/>
  <c r="L29" i="1"/>
  <c r="J29" i="1"/>
  <c r="M28" i="1"/>
  <c r="J28" i="1"/>
  <c r="L28" i="1" s="1"/>
  <c r="M27" i="1"/>
  <c r="L27" i="1"/>
  <c r="J27" i="1"/>
  <c r="M26" i="1"/>
  <c r="L26" i="1"/>
  <c r="J26" i="1"/>
  <c r="M25" i="1"/>
  <c r="J25" i="1"/>
  <c r="L25" i="1" s="1"/>
  <c r="M24" i="1"/>
  <c r="J24" i="1"/>
  <c r="L24" i="1" s="1"/>
  <c r="M23" i="1"/>
  <c r="L23" i="1"/>
  <c r="J23" i="1"/>
  <c r="M22" i="1"/>
  <c r="L22" i="1"/>
  <c r="J22" i="1"/>
  <c r="M21" i="1"/>
  <c r="J21" i="1"/>
  <c r="L21" i="1" s="1"/>
  <c r="M20" i="1"/>
  <c r="J20" i="1"/>
  <c r="L20" i="1" s="1"/>
  <c r="M19" i="1"/>
  <c r="L19" i="1"/>
  <c r="J19" i="1"/>
  <c r="M18" i="1"/>
  <c r="L18" i="1"/>
  <c r="J18" i="1"/>
  <c r="M17" i="1"/>
  <c r="L17" i="1"/>
  <c r="J17" i="1"/>
  <c r="M16" i="1"/>
  <c r="J16" i="1"/>
  <c r="L16" i="1" s="1"/>
  <c r="M15" i="1"/>
  <c r="L15" i="1"/>
  <c r="J15" i="1"/>
  <c r="M14" i="1"/>
  <c r="L14" i="1"/>
  <c r="J14" i="1"/>
  <c r="M13" i="1"/>
  <c r="L13" i="1"/>
  <c r="J13" i="1"/>
  <c r="M12" i="1"/>
  <c r="J12" i="1"/>
  <c r="L12" i="1" s="1"/>
  <c r="M11" i="1"/>
  <c r="L11" i="1"/>
  <c r="J11" i="1"/>
  <c r="M10" i="1"/>
  <c r="L10" i="1"/>
  <c r="J10" i="1"/>
  <c r="M9" i="1"/>
  <c r="J9" i="1"/>
  <c r="L9" i="1" s="1"/>
  <c r="M8" i="1"/>
  <c r="J8" i="1"/>
  <c r="L8" i="1" s="1"/>
  <c r="M7" i="1"/>
  <c r="L7" i="1"/>
  <c r="J7" i="1"/>
  <c r="M6" i="1"/>
  <c r="L6" i="1"/>
  <c r="J6" i="1"/>
  <c r="M5" i="1"/>
  <c r="J5" i="1"/>
  <c r="L5" i="1" s="1"/>
  <c r="M4" i="1"/>
  <c r="J4" i="1"/>
  <c r="L4" i="1" s="1"/>
  <c r="M3" i="1"/>
  <c r="L3" i="1"/>
  <c r="J3" i="1"/>
  <c r="M2" i="1"/>
  <c r="L2"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61A440-0446-47E5-B9B6-227B347F183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898BC40-FAED-4BE7-BB7D-72A314CDA685}" name="WorksheetConnection_Amaka Project.xlsx!Table_1" type="102" refreshedVersion="8" minRefreshableVersion="5">
    <extLst>
      <ext xmlns:x15="http://schemas.microsoft.com/office/spreadsheetml/2010/11/main" uri="{DE250136-89BD-433C-8126-D09CA5730AF9}">
        <x15:connection id="Table_1" autoDelete="1">
          <x15:rangePr sourceName="_xlcn.WorksheetConnection_AmakaProject.xlsxTable_1"/>
        </x15:connection>
      </ext>
    </extLst>
  </connection>
</connections>
</file>

<file path=xl/sharedStrings.xml><?xml version="1.0" encoding="utf-8"?>
<sst xmlns="http://schemas.openxmlformats.org/spreadsheetml/2006/main" count="2197" uniqueCount="52">
  <si>
    <t>OrderId</t>
  </si>
  <si>
    <t>Date</t>
  </si>
  <si>
    <t>Buyer Type</t>
  </si>
  <si>
    <t>Country</t>
  </si>
  <si>
    <t>Product</t>
  </si>
  <si>
    <t>Discount Band</t>
  </si>
  <si>
    <t>Units Sold</t>
  </si>
  <si>
    <t>Unit Price</t>
  </si>
  <si>
    <t>Sale Price</t>
  </si>
  <si>
    <t>Gross Sales</t>
  </si>
  <si>
    <t>Discount Type</t>
  </si>
  <si>
    <t>Net Sales</t>
  </si>
  <si>
    <t>Cost</t>
  </si>
  <si>
    <t>Institutions</t>
  </si>
  <si>
    <t>Italy</t>
  </si>
  <si>
    <t>Camera 2</t>
  </si>
  <si>
    <t>High</t>
  </si>
  <si>
    <t>UK</t>
  </si>
  <si>
    <t>Camera 1</t>
  </si>
  <si>
    <t>Low</t>
  </si>
  <si>
    <t>Greece</t>
  </si>
  <si>
    <t>Medium</t>
  </si>
  <si>
    <t>Germany</t>
  </si>
  <si>
    <t>Resellers</t>
  </si>
  <si>
    <t>SuperMarkets</t>
  </si>
  <si>
    <t>France</t>
  </si>
  <si>
    <t>MiniMarkets</t>
  </si>
  <si>
    <t>Camera 3</t>
  </si>
  <si>
    <t>None</t>
  </si>
  <si>
    <t>Corporations</t>
  </si>
  <si>
    <t>Camera 4</t>
  </si>
  <si>
    <t>Camera 5</t>
  </si>
  <si>
    <t>Camera 6</t>
  </si>
  <si>
    <t>Sum of Net Sales</t>
  </si>
  <si>
    <t>Sum of Cost</t>
  </si>
  <si>
    <t>profit</t>
  </si>
  <si>
    <t>Sum of Units Sold</t>
  </si>
  <si>
    <t>Row Labels</t>
  </si>
  <si>
    <t>Grand Total</t>
  </si>
  <si>
    <t>Jan</t>
  </si>
  <si>
    <t>Feb</t>
  </si>
  <si>
    <t>Mar</t>
  </si>
  <si>
    <t>Apr</t>
  </si>
  <si>
    <t>May</t>
  </si>
  <si>
    <t>Jun</t>
  </si>
  <si>
    <t>Jul</t>
  </si>
  <si>
    <t>Aug</t>
  </si>
  <si>
    <t>Sep</t>
  </si>
  <si>
    <t>Oct</t>
  </si>
  <si>
    <t>Nov</t>
  </si>
  <si>
    <t>Dec</t>
  </si>
  <si>
    <t>Sum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</si>
</sst>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8" formatCode="&quot;$&quot;#,##0.00_);[Red]\(&quot;$&quot;#,##0.00\)"/>
    <numFmt numFmtId="164" formatCode="[$-409]dd\-mmm\-yy;@"/>
  </numFmts>
  <fonts count="5" x14ac:knownFonts="1">
    <font>
      <sz val="11"/>
      <color rgb="FF000000"/>
      <name val="Calibri"/>
      <scheme val="minor"/>
    </font>
    <font>
      <sz val="11"/>
      <color rgb="FFFFFFFF"/>
      <name val="Calibri"/>
      <family val="2"/>
    </font>
    <font>
      <b/>
      <sz val="11"/>
      <color rgb="FFFFFFFF"/>
      <name val="Calibri"/>
      <family val="2"/>
    </font>
    <font>
      <sz val="11"/>
      <color theme="1"/>
      <name val="Calibri"/>
      <family val="2"/>
    </font>
    <font>
      <sz val="11"/>
      <color rgb="FF000000"/>
      <name val="Calibri"/>
      <family val="2"/>
    </font>
  </fonts>
  <fills count="3">
    <fill>
      <patternFill patternType="none"/>
    </fill>
    <fill>
      <patternFill patternType="gray125"/>
    </fill>
    <fill>
      <patternFill patternType="solid">
        <fgColor theme="4"/>
        <bgColor theme="4"/>
      </patternFill>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xf numFmtId="0" fontId="3" fillId="0" borderId="0" xfId="0" applyFont="1"/>
    <xf numFmtId="9" fontId="4" fillId="0" borderId="0" xfId="0" applyNumberFormat="1" applyFont="1"/>
    <xf numFmtId="164" fontId="2" fillId="2" borderId="1" xfId="0" applyNumberFormat="1" applyFont="1" applyFill="1" applyBorder="1"/>
    <xf numFmtId="164" fontId="4" fillId="0" borderId="0" xfId="0" applyNumberFormat="1" applyFont="1"/>
    <xf numFmtId="164" fontId="0" fillId="0" borderId="0" xfId="0" applyNumberFormat="1"/>
    <xf numFmtId="0" fontId="0" fillId="0" borderId="0" xfId="0" pivotButton="1"/>
    <xf numFmtId="0" fontId="0" fillId="0" borderId="0" xfId="0" applyAlignment="1">
      <alignment horizontal="left"/>
    </xf>
    <xf numFmtId="8" fontId="0" fillId="0" borderId="0" xfId="0" applyNumberFormat="1"/>
    <xf numFmtId="38" fontId="0" fillId="0" borderId="0" xfId="0" applyNumberFormat="1"/>
  </cellXfs>
  <cellStyles count="1">
    <cellStyle name="Normal" xfId="0" builtinId="0"/>
  </cellStyles>
  <dxfs count="96">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numFmt numFmtId="12" formatCode="&quot;$&quot;#,##0.00_);[Red]\(&quot;$&quot;#,##0.00\)"/>
    </dxf>
    <dxf>
      <numFmt numFmtId="12" formatCode="&quot;$&quot;#,##0.00_);[Red]\(&quot;$&quot;#,##0.00\)"/>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numFmt numFmtId="12" formatCode="&quot;$&quot;#,##0.00_);[Red]\(&quot;$&quot;#,##0.00\)"/>
    </dxf>
    <dxf>
      <fill>
        <patternFill>
          <bgColor rgb="FF00B0F0"/>
        </patternFill>
      </fill>
    </dxf>
    <dxf>
      <numFmt numFmtId="6" formatCode="#,##0_);[Red]\(#,##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6" formatCode="#,##0_);[Red]\(#,##0\)"/>
    </dxf>
    <dxf>
      <numFmt numFmtId="12" formatCode="&quot;$&quot;#,##0.00_);[Red]\(&quot;$&quot;#,##0.00\)"/>
    </dxf>
    <dxf>
      <numFmt numFmtId="12" formatCode="&quot;$&quot;#,##0.00_);[Red]\(&quot;$&quot;#,##0.00\)"/>
    </dxf>
    <dxf>
      <numFmt numFmtId="12" formatCode="&quot;$&quot;#,##0.00_);[Red]\(&quot;$&quot;#,##0.00\)"/>
    </dxf>
    <dxf>
      <numFmt numFmtId="12" formatCode="&quot;$&quot;#,##0.00_);[Red]\(&quot;$&quot;#,##0.00\)"/>
    </dxf>
    <dxf>
      <numFmt numFmtId="6" formatCode="#,##0_);[Red]\(#,##0\)"/>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00B05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00B05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00B05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00B05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00B050"/>
        </patternFill>
      </fill>
    </dxf>
    <dxf>
      <numFmt numFmtId="12" formatCode="&quot;$&quot;#,##0.00_);[Red]\(&quot;$&quot;#,##0.00\)"/>
    </dxf>
    <dxf>
      <fill>
        <patternFill>
          <bgColor rgb="FF00B0F0"/>
        </patternFill>
      </fill>
    </dxf>
    <dxf>
      <fill>
        <patternFill>
          <bgColor rgb="FFFFFF00"/>
        </patternFill>
      </fill>
    </dxf>
    <dxf>
      <fill>
        <patternFill>
          <bgColor rgb="FF00B0F0"/>
        </patternFill>
      </fill>
    </dxf>
    <dxf>
      <fill>
        <patternFill>
          <bgColor rgb="FF00B050"/>
        </patternFill>
      </fill>
    </dxf>
    <dxf>
      <fill>
        <patternFill>
          <bgColor rgb="FFFFFF00"/>
        </patternFill>
      </fill>
    </dxf>
    <dxf>
      <fill>
        <patternFill>
          <bgColor rgb="FF00B0F0"/>
        </patternFill>
      </fill>
    </dxf>
    <dxf>
      <fill>
        <patternFill>
          <bgColor rgb="FF00B050"/>
        </patternFill>
      </fill>
    </dxf>
    <dxf>
      <fill>
        <patternFill>
          <bgColor rgb="FF00B0F0"/>
        </patternFill>
      </fill>
    </dxf>
    <dxf>
      <fill>
        <patternFill>
          <bgColor rgb="FF00B050"/>
        </patternFill>
      </fill>
    </dxf>
    <dxf>
      <fill>
        <patternFill>
          <bgColor rgb="FF00B050"/>
        </patternFill>
      </fill>
    </dxf>
    <dxf>
      <numFmt numFmtId="164" formatCode="[$-409]dd\-mmm\-yy;@"/>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12" formatCode="&quot;$&quot;#,##0.00_);[Red]\(&quot;$&quot;#,##0.00\)"/>
    </dxf>
    <dxf>
      <numFmt numFmtId="6" formatCode="#,##0_);[Red]\(#,##0\)"/>
    </dxf>
    <dxf>
      <numFmt numFmtId="12" formatCode="&quot;$&quot;#,##0.00_);[Red]\(&quot;$&quot;#,##0.00\)"/>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1">
    <tableStyle name="Eurovision Imaging Ltd-style" pivot="0" count="3" xr9:uid="{00000000-0011-0000-FFFF-FFFF00000000}">
      <tableStyleElement type="headerRow" dxfId="95"/>
      <tableStyleElement type="firstRowStripe" dxfId="94"/>
      <tableStyleElement type="secondRowStripe" dxfId="93"/>
    </tableStyle>
  </tableStyles>
  <colors>
    <mruColors>
      <color rgb="FF36AF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customschemas.google.com/relationships/workbookmetadata" Target="metadata"/><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[Amaka Project.xlsx]pivot2!BUYERTYPE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Buyer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pivot2!$B$12</c:f>
              <c:strCache>
                <c:ptCount val="1"/>
                <c:pt idx="0">
                  <c:v>Total</c:v>
                </c:pt>
              </c:strCache>
            </c:strRef>
          </c:tx>
          <c:spPr>
            <a:solidFill>
              <a:srgbClr val="00B050"/>
            </a:solidFill>
            <a:ln>
              <a:noFill/>
            </a:ln>
            <a:effectLst/>
          </c:spPr>
          <c:invertIfNegative val="0"/>
          <c:cat>
            <c:strRef>
              <c:f>pivot2!$A$13:$A$18</c:f>
              <c:strCache>
                <c:ptCount val="5"/>
                <c:pt idx="0">
                  <c:v>Institutions</c:v>
                </c:pt>
                <c:pt idx="1">
                  <c:v>Corporations</c:v>
                </c:pt>
                <c:pt idx="2">
                  <c:v>SuperMarkets</c:v>
                </c:pt>
                <c:pt idx="3">
                  <c:v>Resellers</c:v>
                </c:pt>
                <c:pt idx="4">
                  <c:v>MiniMarkets</c:v>
                </c:pt>
              </c:strCache>
            </c:strRef>
          </c:cat>
          <c:val>
            <c:numRef>
              <c:f>pivot2!$B$13:$B$18</c:f>
              <c:numCache>
                <c:formatCode>"$"#,##0.00_);[Red]\("$"#,##0.00\)</c:formatCode>
                <c:ptCount val="5"/>
                <c:pt idx="0">
                  <c:v>347242.5</c:v>
                </c:pt>
                <c:pt idx="1">
                  <c:v>133191</c:v>
                </c:pt>
                <c:pt idx="2">
                  <c:v>132730</c:v>
                </c:pt>
                <c:pt idx="3">
                  <c:v>125196.5</c:v>
                </c:pt>
                <c:pt idx="4">
                  <c:v>122772</c:v>
                </c:pt>
              </c:numCache>
            </c:numRef>
          </c:val>
          <c:extLst>
            <c:ext xmlns:c16="http://schemas.microsoft.com/office/drawing/2014/chart" uri="{C3380CC4-5D6E-409C-BE32-E72D297353CC}">
              <c16:uniqueId val="{00000000-13B2-458A-B338-69108523148A}"/>
            </c:ext>
          </c:extLst>
        </c:ser>
        <c:dLbls>
          <c:showLegendKey val="0"/>
          <c:showVal val="0"/>
          <c:showCatName val="0"/>
          <c:showSerName val="0"/>
          <c:showPercent val="0"/>
          <c:showBubbleSize val="0"/>
        </c:dLbls>
        <c:gapWidth val="182"/>
        <c:axId val="577640015"/>
        <c:axId val="577627535"/>
      </c:barChart>
      <c:catAx>
        <c:axId val="57764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27535"/>
        <c:crosses val="autoZero"/>
        <c:auto val="1"/>
        <c:lblAlgn val="ctr"/>
        <c:lblOffset val="100"/>
        <c:noMultiLvlLbl val="0"/>
      </c:catAx>
      <c:valAx>
        <c:axId val="577627535"/>
        <c:scaling>
          <c:orientation val="minMax"/>
          <c:max val="280000"/>
          <c:min val="0"/>
        </c:scaling>
        <c:delete val="0"/>
        <c:axPos val="b"/>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4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[Amaka Project.xlsx]pivot2!DISCOUNTBAND</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36AF7D"/>
          </a:solidFill>
          <a:ln w="19050">
            <a:solidFill>
              <a:schemeClr val="lt1"/>
            </a:solidFill>
          </a:ln>
          <a:effectLst/>
        </c:spPr>
      </c:pivotFmt>
      <c:pivotFmt>
        <c:idx val="12"/>
        <c:spPr>
          <a:solidFill>
            <a:srgbClr val="00B050"/>
          </a:solidFill>
          <a:ln w="19050">
            <a:solidFill>
              <a:schemeClr val="lt1"/>
            </a:solidFill>
          </a:ln>
          <a:effectLst/>
        </c:spPr>
      </c:pivotFmt>
      <c:pivotFmt>
        <c:idx val="13"/>
        <c:spPr>
          <a:solidFill>
            <a:srgbClr val="92D050"/>
          </a:solidFill>
          <a:ln w="19050">
            <a:solidFill>
              <a:schemeClr val="lt1"/>
            </a:solidFill>
          </a:ln>
          <a:effectLst/>
        </c:spPr>
      </c:pivotFmt>
      <c:pivotFmt>
        <c:idx val="14"/>
        <c:spPr>
          <a:solidFill>
            <a:schemeClr val="accent6">
              <a:lumMod val="60000"/>
              <a:lumOff val="40000"/>
            </a:schemeClr>
          </a:solidFill>
          <a:ln w="19050">
            <a:solidFill>
              <a:schemeClr val="lt1"/>
            </a:solidFill>
          </a:ln>
          <a:effectLst/>
        </c:spPr>
        <c:dLbl>
          <c:idx val="0"/>
          <c:layout>
            <c:manualLayout>
              <c:x val="8.1147457238986073E-2"/>
              <c:y val="0.174621297337832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434016968809128"/>
          <c:y val="9.151193310138557E-2"/>
          <c:w val="0.48921664993218128"/>
          <c:h val="0.84759628883598848"/>
        </c:manualLayout>
      </c:layout>
      <c:pieChart>
        <c:varyColors val="1"/>
        <c:ser>
          <c:idx val="0"/>
          <c:order val="0"/>
          <c:tx>
            <c:strRef>
              <c:f>pivot2!$B$21</c:f>
              <c:strCache>
                <c:ptCount val="1"/>
                <c:pt idx="0">
                  <c:v>Total</c:v>
                </c:pt>
              </c:strCache>
            </c:strRef>
          </c:tx>
          <c:dPt>
            <c:idx val="0"/>
            <c:bubble3D val="0"/>
            <c:spPr>
              <a:solidFill>
                <a:srgbClr val="36AF7D"/>
              </a:solidFill>
              <a:ln w="19050">
                <a:solidFill>
                  <a:schemeClr val="lt1"/>
                </a:solidFill>
              </a:ln>
              <a:effectLst/>
            </c:spPr>
            <c:extLst>
              <c:ext xmlns:c16="http://schemas.microsoft.com/office/drawing/2014/chart" uri="{C3380CC4-5D6E-409C-BE32-E72D297353CC}">
                <c16:uniqueId val="{00000001-0F1F-43BF-A648-898B15BE1341}"/>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0F1F-43BF-A648-898B15BE1341}"/>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0F1F-43BF-A648-898B15BE1341}"/>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0F1F-43BF-A648-898B15BE1341}"/>
              </c:ext>
            </c:extLst>
          </c:dPt>
          <c:dLbls>
            <c:dLbl>
              <c:idx val="3"/>
              <c:layout>
                <c:manualLayout>
                  <c:x val="8.1147457238986073E-2"/>
                  <c:y val="0.1746212973378327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F1F-43BF-A648-898B15BE1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pivot2!$A$22:$A$26</c:f>
              <c:strCache>
                <c:ptCount val="4"/>
                <c:pt idx="0">
                  <c:v>High</c:v>
                </c:pt>
                <c:pt idx="1">
                  <c:v>Low</c:v>
                </c:pt>
                <c:pt idx="2">
                  <c:v>Medium</c:v>
                </c:pt>
                <c:pt idx="3">
                  <c:v>None</c:v>
                </c:pt>
              </c:strCache>
            </c:strRef>
          </c:cat>
          <c:val>
            <c:numRef>
              <c:f>pivot2!$B$22:$B$26</c:f>
              <c:numCache>
                <c:formatCode>"$"#,##0.00_);[Red]\("$"#,##0.00\)</c:formatCode>
                <c:ptCount val="4"/>
                <c:pt idx="0">
                  <c:v>38093171.653849997</c:v>
                </c:pt>
                <c:pt idx="1">
                  <c:v>18502171.7608</c:v>
                </c:pt>
                <c:pt idx="2">
                  <c:v>35371486.642850012</c:v>
                </c:pt>
                <c:pt idx="3">
                  <c:v>10932172.5</c:v>
                </c:pt>
              </c:numCache>
            </c:numRef>
          </c:val>
          <c:extLst>
            <c:ext xmlns:c16="http://schemas.microsoft.com/office/drawing/2014/chart" uri="{C3380CC4-5D6E-409C-BE32-E72D297353CC}">
              <c16:uniqueId val="{00000008-0F1F-43BF-A648-898B15BE1341}"/>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6203391181674921"/>
          <c:y val="0.24827519748437243"/>
          <c:w val="0.28022588897161299"/>
          <c:h val="0.47684380032206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rgbClr val="00B050">
          <a:alpha val="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[Amaka Project.xlsx]pivot2!COUNTRY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11506223012443"/>
          <c:y val="0.17944317229573797"/>
          <c:w val="0.75393141986283974"/>
          <c:h val="0.64378314050517926"/>
        </c:manualLayout>
      </c:layout>
      <c:barChart>
        <c:barDir val="col"/>
        <c:grouping val="clustered"/>
        <c:varyColors val="0"/>
        <c:ser>
          <c:idx val="0"/>
          <c:order val="0"/>
          <c:tx>
            <c:strRef>
              <c:f>pivot2!$B$3</c:f>
              <c:strCache>
                <c:ptCount val="1"/>
                <c:pt idx="0">
                  <c:v>Total</c:v>
                </c:pt>
              </c:strCache>
            </c:strRef>
          </c:tx>
          <c:spPr>
            <a:solidFill>
              <a:srgbClr val="00B050"/>
            </a:solidFill>
            <a:ln>
              <a:noFill/>
            </a:ln>
            <a:effectLst/>
          </c:spPr>
          <c:invertIfNegative val="0"/>
          <c:cat>
            <c:strRef>
              <c:f>pivot2!$A$4:$A$9</c:f>
              <c:strCache>
                <c:ptCount val="5"/>
                <c:pt idx="0">
                  <c:v>UK</c:v>
                </c:pt>
                <c:pt idx="1">
                  <c:v>France</c:v>
                </c:pt>
                <c:pt idx="2">
                  <c:v>Italy</c:v>
                </c:pt>
                <c:pt idx="3">
                  <c:v>Germany</c:v>
                </c:pt>
                <c:pt idx="4">
                  <c:v>Greece</c:v>
                </c:pt>
              </c:strCache>
            </c:strRef>
          </c:cat>
          <c:val>
            <c:numRef>
              <c:f>pivot2!$B$4:$B$9</c:f>
              <c:numCache>
                <c:formatCode>"$"#,##0.00_);[Red]\("$"#,##0.00\)</c:formatCode>
                <c:ptCount val="5"/>
                <c:pt idx="0">
                  <c:v>23069674.112050001</c:v>
                </c:pt>
                <c:pt idx="1">
                  <c:v>22024721.449500002</c:v>
                </c:pt>
                <c:pt idx="2">
                  <c:v>21491135.517750002</c:v>
                </c:pt>
                <c:pt idx="3">
                  <c:v>19014491.537</c:v>
                </c:pt>
                <c:pt idx="4">
                  <c:v>17298979.941199996</c:v>
                </c:pt>
              </c:numCache>
            </c:numRef>
          </c:val>
          <c:extLst>
            <c:ext xmlns:c16="http://schemas.microsoft.com/office/drawing/2014/chart" uri="{C3380CC4-5D6E-409C-BE32-E72D297353CC}">
              <c16:uniqueId val="{00000000-8724-43AE-AD5D-4CD54CA06A30}"/>
            </c:ext>
          </c:extLst>
        </c:ser>
        <c:dLbls>
          <c:showLegendKey val="0"/>
          <c:showVal val="0"/>
          <c:showCatName val="0"/>
          <c:showSerName val="0"/>
          <c:showPercent val="0"/>
          <c:showBubbleSize val="0"/>
        </c:dLbls>
        <c:gapWidth val="219"/>
        <c:overlap val="-27"/>
        <c:axId val="482439343"/>
        <c:axId val="482442223"/>
      </c:barChart>
      <c:catAx>
        <c:axId val="48243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42223"/>
        <c:crosses val="autoZero"/>
        <c:auto val="1"/>
        <c:lblAlgn val="ctr"/>
        <c:lblOffset val="100"/>
        <c:noMultiLvlLbl val="0"/>
      </c:catAx>
      <c:valAx>
        <c:axId val="482442223"/>
        <c:scaling>
          <c:orientation val="minMax"/>
        </c:scaling>
        <c:delete val="0"/>
        <c:axPos val="l"/>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3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[Amaka Project.xlsx]pivot2!PRODUCT</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Product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52360757406513"/>
          <c:y val="0.17710170603674541"/>
          <c:w val="0.73073457268352471"/>
          <c:h val="0.53589960629921263"/>
        </c:manualLayout>
      </c:layout>
      <c:barChart>
        <c:barDir val="col"/>
        <c:grouping val="clustered"/>
        <c:varyColors val="0"/>
        <c:ser>
          <c:idx val="0"/>
          <c:order val="0"/>
          <c:tx>
            <c:strRef>
              <c:f>pivot2!$B$35</c:f>
              <c:strCache>
                <c:ptCount val="1"/>
                <c:pt idx="0">
                  <c:v>Total</c:v>
                </c:pt>
              </c:strCache>
            </c:strRef>
          </c:tx>
          <c:spPr>
            <a:solidFill>
              <a:srgbClr val="00B050"/>
            </a:solidFill>
            <a:ln>
              <a:noFill/>
            </a:ln>
            <a:effectLst/>
          </c:spPr>
          <c:invertIfNegative val="0"/>
          <c:cat>
            <c:strRef>
              <c:f>pivot2!$A$36:$A$42</c:f>
              <c:strCache>
                <c:ptCount val="6"/>
                <c:pt idx="0">
                  <c:v>Camera 6</c:v>
                </c:pt>
                <c:pt idx="1">
                  <c:v>Camera 5</c:v>
                </c:pt>
                <c:pt idx="2">
                  <c:v>Camera 4</c:v>
                </c:pt>
                <c:pt idx="3">
                  <c:v>Camera 3</c:v>
                </c:pt>
                <c:pt idx="4">
                  <c:v>Camera 2</c:v>
                </c:pt>
                <c:pt idx="5">
                  <c:v>Camera 1</c:v>
                </c:pt>
              </c:strCache>
            </c:strRef>
          </c:cat>
          <c:val>
            <c:numRef>
              <c:f>pivot2!$B$36:$B$42</c:f>
              <c:numCache>
                <c:formatCode>"$"#,##0.00_);[Red]\("$"#,##0.00\)</c:formatCode>
                <c:ptCount val="6"/>
                <c:pt idx="0">
                  <c:v>6575635.6940999925</c:v>
                </c:pt>
                <c:pt idx="1">
                  <c:v>6548020.813349992</c:v>
                </c:pt>
                <c:pt idx="2">
                  <c:v>4216518.7742000036</c:v>
                </c:pt>
                <c:pt idx="3">
                  <c:v>2595701.4097999996</c:v>
                </c:pt>
                <c:pt idx="4">
                  <c:v>748159.91399999987</c:v>
                </c:pt>
                <c:pt idx="5">
                  <c:v>541934.95204999996</c:v>
                </c:pt>
              </c:numCache>
            </c:numRef>
          </c:val>
          <c:extLst>
            <c:ext xmlns:c16="http://schemas.microsoft.com/office/drawing/2014/chart" uri="{C3380CC4-5D6E-409C-BE32-E72D297353CC}">
              <c16:uniqueId val="{00000000-1D3C-48FC-B013-A6D9ED9141CF}"/>
            </c:ext>
          </c:extLst>
        </c:ser>
        <c:dLbls>
          <c:showLegendKey val="0"/>
          <c:showVal val="0"/>
          <c:showCatName val="0"/>
          <c:showSerName val="0"/>
          <c:showPercent val="0"/>
          <c:showBubbleSize val="0"/>
        </c:dLbls>
        <c:gapWidth val="219"/>
        <c:overlap val="-27"/>
        <c:axId val="577641455"/>
        <c:axId val="577648655"/>
      </c:barChart>
      <c:catAx>
        <c:axId val="57764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48655"/>
        <c:crosses val="autoZero"/>
        <c:auto val="1"/>
        <c:lblAlgn val="ctr"/>
        <c:lblOffset val="100"/>
        <c:noMultiLvlLbl val="0"/>
      </c:catAx>
      <c:valAx>
        <c:axId val="5776486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4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[Amaka Project.xlsx]pivot2!MONTH</c:name>
    <c:fmtId val="5"/>
  </c:pivotSource>
  <c:chart>
    <c:title>
      <c:layout>
        <c:manualLayout>
          <c:xMode val="edge"/>
          <c:yMode val="edge"/>
          <c:x val="0.47209292934984198"/>
          <c:y val="2.87058712255562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pivot2!$B$48</c:f>
              <c:strCache>
                <c:ptCount val="1"/>
                <c:pt idx="0">
                  <c:v>Total</c:v>
                </c:pt>
              </c:strCache>
            </c:strRef>
          </c:tx>
          <c:spPr>
            <a:ln w="28575" cap="rnd">
              <a:solidFill>
                <a:srgbClr val="92D050"/>
              </a:solidFill>
              <a:round/>
            </a:ln>
            <a:effectLst/>
          </c:spPr>
          <c:marker>
            <c:symbol val="none"/>
          </c:marker>
          <c:cat>
            <c:strRef>
              <c:f>pivot2!$A$49:$A$61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pivot2!$B$49:$B$61</c:f>
              <c:numCache>
                <c:formatCode>"$"#,##0.00_);[Red]\("$"#,##0.00\)</c:formatCode>
                <c:ptCount val="12"/>
                <c:pt idx="0">
                  <c:v>1937887.2819999978</c:v>
                </c:pt>
                <c:pt idx="1">
                  <c:v>2050725.3886500001</c:v>
                </c:pt>
                <c:pt idx="2">
                  <c:v>1727187.1596499998</c:v>
                </c:pt>
                <c:pt idx="3">
                  <c:v>1819666.9132999983</c:v>
                </c:pt>
                <c:pt idx="4">
                  <c:v>1404726.3276000004</c:v>
                </c:pt>
                <c:pt idx="5">
                  <c:v>1771146.675449999</c:v>
                </c:pt>
                <c:pt idx="6">
                  <c:v>1121593.2302000001</c:v>
                </c:pt>
                <c:pt idx="7">
                  <c:v>1784438.9544000002</c:v>
                </c:pt>
                <c:pt idx="8">
                  <c:v>1815112.1089999992</c:v>
                </c:pt>
                <c:pt idx="9">
                  <c:v>2675924.8008499984</c:v>
                </c:pt>
                <c:pt idx="10">
                  <c:v>1698690.2125000004</c:v>
                </c:pt>
                <c:pt idx="11">
                  <c:v>1418872.5038999999</c:v>
                </c:pt>
              </c:numCache>
            </c:numRef>
          </c:val>
          <c:smooth val="0"/>
          <c:extLst>
            <c:ext xmlns:c16="http://schemas.microsoft.com/office/drawing/2014/chart" uri="{C3380CC4-5D6E-409C-BE32-E72D297353CC}">
              <c16:uniqueId val="{00000000-BCC1-446B-B4C3-59CF009D9F29}"/>
            </c:ext>
          </c:extLst>
        </c:ser>
        <c:dLbls>
          <c:showLegendKey val="0"/>
          <c:showVal val="0"/>
          <c:showCatName val="0"/>
          <c:showSerName val="0"/>
          <c:showPercent val="0"/>
          <c:showBubbleSize val="0"/>
        </c:dLbls>
        <c:smooth val="0"/>
        <c:axId val="577588175"/>
        <c:axId val="577615535"/>
      </c:lineChart>
      <c:catAx>
        <c:axId val="57758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15535"/>
        <c:crosses val="autoZero"/>
        <c:auto val="1"/>
        <c:lblAlgn val="ctr"/>
        <c:lblOffset val="100"/>
        <c:noMultiLvlLbl val="0"/>
      </c:catAx>
      <c:valAx>
        <c:axId val="577615535"/>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58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485776</xdr:colOff>
      <xdr:row>18</xdr:row>
      <xdr:rowOff>0</xdr:rowOff>
    </xdr:from>
    <xdr:to>
      <xdr:col>19</xdr:col>
      <xdr:colOff>457200</xdr:colOff>
      <xdr:row>29</xdr:row>
      <xdr:rowOff>180975</xdr:rowOff>
    </xdr:to>
    <xdr:sp macro="" textlink="">
      <xdr:nvSpPr>
        <xdr:cNvPr id="22" name="Rectangle: Rounded Corners 21">
          <a:extLst>
            <a:ext uri="{FF2B5EF4-FFF2-40B4-BE49-F238E27FC236}">
              <a16:creationId xmlns:a16="http://schemas.microsoft.com/office/drawing/2014/main" id="{38AB27C5-F715-70AD-1E35-D6670A7F9F1E}"/>
            </a:ext>
          </a:extLst>
        </xdr:cNvPr>
        <xdr:cNvSpPr/>
      </xdr:nvSpPr>
      <xdr:spPr>
        <a:xfrm>
          <a:off x="5972176" y="3429000"/>
          <a:ext cx="6067424" cy="2276475"/>
        </a:xfrm>
        <a:prstGeom prst="roundRect">
          <a:avLst/>
        </a:prstGeom>
        <a:solidFill>
          <a:schemeClr val="bg1"/>
        </a:solidFill>
        <a:ln>
          <a:noFill/>
        </a:ln>
        <a:effectLst>
          <a:outerShdw blurRad="50800" dist="38100" dir="2700000" algn="tl" rotWithShape="0">
            <a:srgbClr val="00B050">
              <a:alpha val="7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85725</xdr:rowOff>
    </xdr:from>
    <xdr:to>
      <xdr:col>20</xdr:col>
      <xdr:colOff>323850</xdr:colOff>
      <xdr:row>33</xdr:row>
      <xdr:rowOff>133349</xdr:rowOff>
    </xdr:to>
    <xdr:sp macro="" textlink="">
      <xdr:nvSpPr>
        <xdr:cNvPr id="2" name="Rectangle: Rounded Corners 1">
          <a:extLst>
            <a:ext uri="{FF2B5EF4-FFF2-40B4-BE49-F238E27FC236}">
              <a16:creationId xmlns:a16="http://schemas.microsoft.com/office/drawing/2014/main" id="{09BD7DC9-A001-DFB4-AB12-840F1831361F}"/>
            </a:ext>
          </a:extLst>
        </xdr:cNvPr>
        <xdr:cNvSpPr/>
      </xdr:nvSpPr>
      <xdr:spPr>
        <a:xfrm>
          <a:off x="0" y="85725"/>
          <a:ext cx="12515850" cy="6334124"/>
        </a:xfrm>
        <a:prstGeom prst="roundRect">
          <a:avLst>
            <a:gd name="adj" fmla="val 10050"/>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66676</xdr:colOff>
      <xdr:row>18</xdr:row>
      <xdr:rowOff>28575</xdr:rowOff>
    </xdr:from>
    <xdr:to>
      <xdr:col>9</xdr:col>
      <xdr:colOff>371475</xdr:colOff>
      <xdr:row>30</xdr:row>
      <xdr:rowOff>19050</xdr:rowOff>
    </xdr:to>
    <xdr:sp macro="" textlink="">
      <xdr:nvSpPr>
        <xdr:cNvPr id="3" name="Rectangle: Rounded Corners 2">
          <a:extLst>
            <a:ext uri="{FF2B5EF4-FFF2-40B4-BE49-F238E27FC236}">
              <a16:creationId xmlns:a16="http://schemas.microsoft.com/office/drawing/2014/main" id="{ED8CA94E-06D5-1823-B3B8-A246D4F9BD47}"/>
            </a:ext>
          </a:extLst>
        </xdr:cNvPr>
        <xdr:cNvSpPr/>
      </xdr:nvSpPr>
      <xdr:spPr>
        <a:xfrm>
          <a:off x="1895476" y="3457575"/>
          <a:ext cx="3962399" cy="2276475"/>
        </a:xfrm>
        <a:prstGeom prst="roundRect">
          <a:avLst/>
        </a:prstGeom>
        <a:solidFill>
          <a:schemeClr val="bg1"/>
        </a:solidFill>
        <a:ln>
          <a:noFill/>
        </a:ln>
        <a:effectLst>
          <a:outerShdw blurRad="50800" dist="38100" dir="2700000" algn="tl" rotWithShape="0">
            <a:srgbClr val="00B050">
              <a:alpha val="7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381000</xdr:colOff>
      <xdr:row>8</xdr:row>
      <xdr:rowOff>9523</xdr:rowOff>
    </xdr:from>
    <xdr:to>
      <xdr:col>19</xdr:col>
      <xdr:colOff>547877</xdr:colOff>
      <xdr:row>17</xdr:row>
      <xdr:rowOff>123823</xdr:rowOff>
    </xdr:to>
    <xdr:sp macro="" textlink="">
      <xdr:nvSpPr>
        <xdr:cNvPr id="4" name="Rectangle: Rounded Corners 3">
          <a:extLst>
            <a:ext uri="{FF2B5EF4-FFF2-40B4-BE49-F238E27FC236}">
              <a16:creationId xmlns:a16="http://schemas.microsoft.com/office/drawing/2014/main" id="{BA19A942-BFC2-4F62-9F6E-BCECBCAED89B}"/>
            </a:ext>
          </a:extLst>
        </xdr:cNvPr>
        <xdr:cNvSpPr/>
      </xdr:nvSpPr>
      <xdr:spPr>
        <a:xfrm>
          <a:off x="8915400" y="1533523"/>
          <a:ext cx="3214877" cy="1828800"/>
        </a:xfrm>
        <a:prstGeom prst="roundRect">
          <a:avLst/>
        </a:prstGeom>
        <a:solidFill>
          <a:schemeClr val="bg1"/>
        </a:solidFill>
        <a:ln>
          <a:noFill/>
        </a:ln>
        <a:effectLst>
          <a:outerShdw blurRad="50800" dist="38100" dir="2700000" algn="tl" rotWithShape="0">
            <a:srgbClr val="00B050">
              <a:alpha val="7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419100</xdr:colOff>
      <xdr:row>7</xdr:row>
      <xdr:rowOff>171448</xdr:rowOff>
    </xdr:from>
    <xdr:to>
      <xdr:col>14</xdr:col>
      <xdr:colOff>71628</xdr:colOff>
      <xdr:row>17</xdr:row>
      <xdr:rowOff>95248</xdr:rowOff>
    </xdr:to>
    <xdr:sp macro="" textlink="">
      <xdr:nvSpPr>
        <xdr:cNvPr id="5" name="Rectangle: Rounded Corners 4">
          <a:extLst>
            <a:ext uri="{FF2B5EF4-FFF2-40B4-BE49-F238E27FC236}">
              <a16:creationId xmlns:a16="http://schemas.microsoft.com/office/drawing/2014/main" id="{9097F85C-BE48-48CD-9979-95E36D8DCEBF}"/>
            </a:ext>
          </a:extLst>
        </xdr:cNvPr>
        <xdr:cNvSpPr/>
      </xdr:nvSpPr>
      <xdr:spPr>
        <a:xfrm>
          <a:off x="5295900" y="1504948"/>
          <a:ext cx="3310128" cy="1828800"/>
        </a:xfrm>
        <a:prstGeom prst="roundRect">
          <a:avLst/>
        </a:prstGeom>
        <a:solidFill>
          <a:schemeClr val="bg1"/>
        </a:solidFill>
        <a:ln>
          <a:solidFill>
            <a:srgbClr val="92D050"/>
          </a:solidFill>
        </a:ln>
        <a:effectLst>
          <a:outerShdw blurRad="50800" dist="50800" dir="5400000" algn="t" rotWithShape="0">
            <a:schemeClr val="accent6">
              <a:alpha val="7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7</xdr:row>
      <xdr:rowOff>161925</xdr:rowOff>
    </xdr:from>
    <xdr:to>
      <xdr:col>8</xdr:col>
      <xdr:colOff>304800</xdr:colOff>
      <xdr:row>17</xdr:row>
      <xdr:rowOff>95248</xdr:rowOff>
    </xdr:to>
    <xdr:sp macro="" textlink="">
      <xdr:nvSpPr>
        <xdr:cNvPr id="6" name="Rectangle: Rounded Corners 5">
          <a:extLst>
            <a:ext uri="{FF2B5EF4-FFF2-40B4-BE49-F238E27FC236}">
              <a16:creationId xmlns:a16="http://schemas.microsoft.com/office/drawing/2014/main" id="{6485B05A-7C42-48A7-9CE6-21E09EBF1AC0}"/>
            </a:ext>
          </a:extLst>
        </xdr:cNvPr>
        <xdr:cNvSpPr/>
      </xdr:nvSpPr>
      <xdr:spPr>
        <a:xfrm>
          <a:off x="1857375" y="1495425"/>
          <a:ext cx="3324225" cy="1838323"/>
        </a:xfrm>
        <a:prstGeom prst="roundRect">
          <a:avLst>
            <a:gd name="adj" fmla="val 9413"/>
          </a:avLst>
        </a:prstGeom>
        <a:solidFill>
          <a:schemeClr val="bg1"/>
        </a:solidFill>
        <a:ln>
          <a:noFill/>
        </a:ln>
        <a:effectLst>
          <a:outerShdw blurRad="50800" dist="38100" dir="5400000" algn="t" rotWithShape="0">
            <a:srgbClr val="00B050">
              <a:alpha val="7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257176</xdr:colOff>
      <xdr:row>18</xdr:row>
      <xdr:rowOff>180975</xdr:rowOff>
    </xdr:from>
    <xdr:to>
      <xdr:col>9</xdr:col>
      <xdr:colOff>257176</xdr:colOff>
      <xdr:row>29</xdr:row>
      <xdr:rowOff>66674</xdr:rowOff>
    </xdr:to>
    <xdr:graphicFrame macro="">
      <xdr:nvGraphicFramePr>
        <xdr:cNvPr id="7" name="Chart 6">
          <a:extLst>
            <a:ext uri="{FF2B5EF4-FFF2-40B4-BE49-F238E27FC236}">
              <a16:creationId xmlns:a16="http://schemas.microsoft.com/office/drawing/2014/main" id="{016903C0-19C2-45FC-99FB-218C78063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495300</xdr:colOff>
      <xdr:row>9</xdr:row>
      <xdr:rowOff>104775</xdr:rowOff>
    </xdr:from>
    <xdr:to>
      <xdr:col>19</xdr:col>
      <xdr:colOff>285750</xdr:colOff>
      <xdr:row>17</xdr:row>
      <xdr:rowOff>180975</xdr:rowOff>
    </xdr:to>
    <xdr:graphicFrame macro="">
      <xdr:nvGraphicFramePr>
        <xdr:cNvPr id="8" name="Chart 7">
          <a:extLst>
            <a:ext uri="{FF2B5EF4-FFF2-40B4-BE49-F238E27FC236}">
              <a16:creationId xmlns:a16="http://schemas.microsoft.com/office/drawing/2014/main" id="{0B86871E-C2B5-4105-9D6D-FF56E2285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571500</xdr:colOff>
      <xdr:row>8</xdr:row>
      <xdr:rowOff>85726</xdr:rowOff>
    </xdr:from>
    <xdr:to>
      <xdr:col>13</xdr:col>
      <xdr:colOff>476250</xdr:colOff>
      <xdr:row>16</xdr:row>
      <xdr:rowOff>123825</xdr:rowOff>
    </xdr:to>
    <xdr:graphicFrame macro="">
      <xdr:nvGraphicFramePr>
        <xdr:cNvPr id="9" name="Chart 8">
          <a:extLst>
            <a:ext uri="{FF2B5EF4-FFF2-40B4-BE49-F238E27FC236}">
              <a16:creationId xmlns:a16="http://schemas.microsoft.com/office/drawing/2014/main" id="{A2F4B4B2-4615-404E-920F-2FFDA2DBA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95251</xdr:colOff>
      <xdr:row>8</xdr:row>
      <xdr:rowOff>38100</xdr:rowOff>
    </xdr:from>
    <xdr:to>
      <xdr:col>8</xdr:col>
      <xdr:colOff>85725</xdr:colOff>
      <xdr:row>16</xdr:row>
      <xdr:rowOff>190499</xdr:rowOff>
    </xdr:to>
    <xdr:graphicFrame macro="">
      <xdr:nvGraphicFramePr>
        <xdr:cNvPr id="10" name="Chart 9">
          <a:extLst>
            <a:ext uri="{FF2B5EF4-FFF2-40B4-BE49-F238E27FC236}">
              <a16:creationId xmlns:a16="http://schemas.microsoft.com/office/drawing/2014/main" id="{7BD87F8C-CE00-40A0-AA18-FAACD2675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161926</xdr:colOff>
      <xdr:row>1</xdr:row>
      <xdr:rowOff>38100</xdr:rowOff>
    </xdr:from>
    <xdr:to>
      <xdr:col>19</xdr:col>
      <xdr:colOff>409576</xdr:colOff>
      <xdr:row>6</xdr:row>
      <xdr:rowOff>142875</xdr:rowOff>
    </xdr:to>
    <xdr:sp macro="" textlink="">
      <xdr:nvSpPr>
        <xdr:cNvPr id="16" name="TextBox 15">
          <a:extLst>
            <a:ext uri="{FF2B5EF4-FFF2-40B4-BE49-F238E27FC236}">
              <a16:creationId xmlns:a16="http://schemas.microsoft.com/office/drawing/2014/main" id="{6712407F-E3F0-DC46-9694-B02DE067F5D9}"/>
            </a:ext>
          </a:extLst>
        </xdr:cNvPr>
        <xdr:cNvSpPr txBox="1"/>
      </xdr:nvSpPr>
      <xdr:spPr>
        <a:xfrm>
          <a:off x="1990726" y="228600"/>
          <a:ext cx="10001250" cy="1057275"/>
        </a:xfrm>
        <a:prstGeom prst="rect">
          <a:avLst/>
        </a:prstGeom>
        <a:solidFill>
          <a:schemeClr val="accent6"/>
        </a:solidFill>
        <a:ln w="9525" cmpd="sng">
          <a:noFill/>
        </a:ln>
        <a:effectLst>
          <a:outerShdw blurRad="50800" dist="38100" dir="2700000" algn="tl" rotWithShape="0">
            <a:srgbClr val="00B050">
              <a:alpha val="46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rPr>
            <a:t>CAMERA DISTRIBUTIONS DASHBOARD</a:t>
          </a:r>
        </a:p>
      </xdr:txBody>
    </xdr:sp>
    <xdr:clientData/>
  </xdr:twoCellAnchor>
  <xdr:twoCellAnchor>
    <xdr:from>
      <xdr:col>3</xdr:col>
      <xdr:colOff>387911</xdr:colOff>
      <xdr:row>4</xdr:row>
      <xdr:rowOff>47624</xdr:rowOff>
    </xdr:from>
    <xdr:to>
      <xdr:col>7</xdr:col>
      <xdr:colOff>244655</xdr:colOff>
      <xdr:row>6</xdr:row>
      <xdr:rowOff>87248</xdr:rowOff>
    </xdr:to>
    <xdr:sp macro="" textlink="'pivot 1'!A4">
      <xdr:nvSpPr>
        <xdr:cNvPr id="11" name="TextBox 10">
          <a:extLst>
            <a:ext uri="{FF2B5EF4-FFF2-40B4-BE49-F238E27FC236}">
              <a16:creationId xmlns:a16="http://schemas.microsoft.com/office/drawing/2014/main" id="{8F2367F1-F5F6-E67B-C53D-942918126D97}"/>
            </a:ext>
          </a:extLst>
        </xdr:cNvPr>
        <xdr:cNvSpPr txBox="1"/>
      </xdr:nvSpPr>
      <xdr:spPr>
        <a:xfrm>
          <a:off x="2216711" y="809624"/>
          <a:ext cx="2295144" cy="420624"/>
        </a:xfrm>
        <a:prstGeom prst="rect">
          <a:avLst/>
        </a:prstGeom>
        <a:solidFill>
          <a:schemeClr val="bg1"/>
        </a:solidFill>
        <a:ln w="9525" cmpd="sng">
          <a:solidFill>
            <a:schemeClr val="lt1">
              <a:shade val="50000"/>
            </a:schemeClr>
          </a:solidFill>
        </a:ln>
        <a:effectLst>
          <a:outerShdw blurRad="50800" dist="38100" dir="2700000" algn="t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81D166-850D-42F1-BC78-AE5062B7A3B7}" type="TxLink">
            <a:rPr lang="en-US" sz="1100" b="0" i="0" u="none" strike="noStrike">
              <a:solidFill>
                <a:schemeClr val="tx1"/>
              </a:solidFill>
              <a:latin typeface="Calibri"/>
              <a:cs typeface="Calibri"/>
            </a:rPr>
            <a:pPr/>
            <a:t>$102,899,002.56 </a:t>
          </a:fld>
          <a:r>
            <a:rPr lang="en-US" sz="1400" b="0" i="0" u="none" strike="noStrike">
              <a:solidFill>
                <a:schemeClr val="accent6"/>
              </a:solidFill>
              <a:latin typeface="Calibri"/>
              <a:cs typeface="Calibri"/>
            </a:rPr>
            <a:t>Total Revenue</a:t>
          </a:r>
          <a:endParaRPr lang="en-US" sz="1400">
            <a:solidFill>
              <a:schemeClr val="accent6"/>
            </a:solidFill>
          </a:endParaRPr>
        </a:p>
      </xdr:txBody>
    </xdr:sp>
    <xdr:clientData/>
  </xdr:twoCellAnchor>
  <xdr:twoCellAnchor>
    <xdr:from>
      <xdr:col>7</xdr:col>
      <xdr:colOff>404214</xdr:colOff>
      <xdr:row>4</xdr:row>
      <xdr:rowOff>47624</xdr:rowOff>
    </xdr:from>
    <xdr:to>
      <xdr:col>11</xdr:col>
      <xdr:colOff>260958</xdr:colOff>
      <xdr:row>6</xdr:row>
      <xdr:rowOff>87248</xdr:rowOff>
    </xdr:to>
    <xdr:sp macro="" textlink="'pivot 1'!C4">
      <xdr:nvSpPr>
        <xdr:cNvPr id="13" name="TextBox 12">
          <a:extLst>
            <a:ext uri="{FF2B5EF4-FFF2-40B4-BE49-F238E27FC236}">
              <a16:creationId xmlns:a16="http://schemas.microsoft.com/office/drawing/2014/main" id="{7D318BB6-DFE7-4EC8-40CC-9EB6E170FBD6}"/>
            </a:ext>
          </a:extLst>
        </xdr:cNvPr>
        <xdr:cNvSpPr txBox="1"/>
      </xdr:nvSpPr>
      <xdr:spPr>
        <a:xfrm>
          <a:off x="4671414" y="809624"/>
          <a:ext cx="2295144" cy="420624"/>
        </a:xfrm>
        <a:prstGeom prst="rect">
          <a:avLst/>
        </a:prstGeom>
        <a:solidFill>
          <a:schemeClr val="bg1"/>
        </a:solidFill>
        <a:ln w="9525" cmpd="sng">
          <a:solidFill>
            <a:schemeClr val="lt1">
              <a:shade val="50000"/>
            </a:schemeClr>
          </a:solidFill>
        </a:ln>
        <a:effectLst>
          <a:outerShdw blurRad="50800" dist="38100" dir="2700000" algn="t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1BBA16-E930-4FC2-B524-FE75585227B3}" type="TxLink">
            <a:rPr lang="en-US" sz="1100" b="0" i="0" u="none" strike="noStrike">
              <a:solidFill>
                <a:schemeClr val="tx1"/>
              </a:solidFill>
              <a:latin typeface="Calibri"/>
              <a:cs typeface="Calibri"/>
            </a:rPr>
            <a:pPr/>
            <a:t>$21,225,971.56 </a:t>
          </a:fld>
          <a:r>
            <a:rPr lang="en-US" sz="1400" b="0" i="0" u="none" strike="noStrike">
              <a:solidFill>
                <a:schemeClr val="accent6"/>
              </a:solidFill>
              <a:latin typeface="Calibri"/>
              <a:cs typeface="Calibri"/>
            </a:rPr>
            <a:t>Profit</a:t>
          </a:r>
          <a:endParaRPr lang="en-US" sz="1400">
            <a:solidFill>
              <a:schemeClr val="accent6"/>
            </a:solidFill>
          </a:endParaRPr>
        </a:p>
      </xdr:txBody>
    </xdr:sp>
    <xdr:clientData/>
  </xdr:twoCellAnchor>
  <xdr:twoCellAnchor>
    <xdr:from>
      <xdr:col>11</xdr:col>
      <xdr:colOff>458617</xdr:colOff>
      <xdr:row>4</xdr:row>
      <xdr:rowOff>47624</xdr:rowOff>
    </xdr:from>
    <xdr:to>
      <xdr:col>15</xdr:col>
      <xdr:colOff>315361</xdr:colOff>
      <xdr:row>6</xdr:row>
      <xdr:rowOff>87248</xdr:rowOff>
    </xdr:to>
    <xdr:sp macro="" textlink="'pivot 1'!A8">
      <xdr:nvSpPr>
        <xdr:cNvPr id="14" name="TextBox 13">
          <a:extLst>
            <a:ext uri="{FF2B5EF4-FFF2-40B4-BE49-F238E27FC236}">
              <a16:creationId xmlns:a16="http://schemas.microsoft.com/office/drawing/2014/main" id="{2B78C5C6-17B6-2F47-8653-7ACF206E3B7A}"/>
            </a:ext>
          </a:extLst>
        </xdr:cNvPr>
        <xdr:cNvSpPr txBox="1"/>
      </xdr:nvSpPr>
      <xdr:spPr>
        <a:xfrm>
          <a:off x="7164217" y="809624"/>
          <a:ext cx="2295144" cy="420624"/>
        </a:xfrm>
        <a:prstGeom prst="rect">
          <a:avLst/>
        </a:prstGeom>
        <a:solidFill>
          <a:schemeClr val="bg1"/>
        </a:solidFill>
        <a:ln w="9525" cmpd="sng">
          <a:noFill/>
        </a:ln>
        <a:effectLst>
          <a:outerShdw blurRad="50800" dist="38100" algn="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D3C445-A0F1-44E2-985F-53FD93A3457D}" type="TxLink">
            <a:rPr lang="en-US" sz="1100" b="0" i="0" u="none" strike="noStrike">
              <a:solidFill>
                <a:schemeClr val="tx1"/>
              </a:solidFill>
              <a:latin typeface="Calibri"/>
              <a:cs typeface="Calibri"/>
            </a:rPr>
            <a:pPr/>
            <a:t>861132</a:t>
          </a:fld>
          <a:r>
            <a:rPr lang="en-US" sz="1100" b="0" i="0" u="none" strike="noStrike">
              <a:solidFill>
                <a:schemeClr val="bg1"/>
              </a:solidFill>
              <a:latin typeface="Calibri"/>
              <a:cs typeface="Calibri"/>
            </a:rPr>
            <a:t> </a:t>
          </a:r>
          <a:r>
            <a:rPr lang="en-US" sz="1400" b="0" i="0" u="none" strike="noStrike">
              <a:solidFill>
                <a:schemeClr val="accent6"/>
              </a:solidFill>
              <a:latin typeface="Calibri"/>
              <a:cs typeface="Calibri"/>
            </a:rPr>
            <a:t>Unit</a:t>
          </a:r>
          <a:r>
            <a:rPr lang="en-US" sz="1400" b="0" i="0" u="none" strike="noStrike" baseline="0">
              <a:solidFill>
                <a:schemeClr val="accent6"/>
              </a:solidFill>
              <a:latin typeface="Calibri"/>
              <a:cs typeface="Calibri"/>
            </a:rPr>
            <a:t> Sold</a:t>
          </a:r>
          <a:endParaRPr lang="en-US" sz="1400">
            <a:solidFill>
              <a:schemeClr val="accent6"/>
            </a:solidFill>
          </a:endParaRPr>
        </a:p>
      </xdr:txBody>
    </xdr:sp>
    <xdr:clientData/>
  </xdr:twoCellAnchor>
  <xdr:twoCellAnchor>
    <xdr:from>
      <xdr:col>15</xdr:col>
      <xdr:colOff>436821</xdr:colOff>
      <xdr:row>4</xdr:row>
      <xdr:rowOff>47624</xdr:rowOff>
    </xdr:from>
    <xdr:to>
      <xdr:col>19</xdr:col>
      <xdr:colOff>293565</xdr:colOff>
      <xdr:row>6</xdr:row>
      <xdr:rowOff>87248</xdr:rowOff>
    </xdr:to>
    <xdr:sp macro="" textlink="'pivot 1'!A47">
      <xdr:nvSpPr>
        <xdr:cNvPr id="15" name="TextBox 14">
          <a:extLst>
            <a:ext uri="{FF2B5EF4-FFF2-40B4-BE49-F238E27FC236}">
              <a16:creationId xmlns:a16="http://schemas.microsoft.com/office/drawing/2014/main" id="{85DCC938-800D-7FE3-1D4B-6F7940104D3A}"/>
            </a:ext>
          </a:extLst>
        </xdr:cNvPr>
        <xdr:cNvSpPr txBox="1"/>
      </xdr:nvSpPr>
      <xdr:spPr>
        <a:xfrm>
          <a:off x="9580821" y="809624"/>
          <a:ext cx="2295144" cy="420624"/>
        </a:xfrm>
        <a:prstGeom prst="rect">
          <a:avLst/>
        </a:prstGeom>
        <a:solidFill>
          <a:schemeClr val="bg1"/>
        </a:solidFill>
        <a:ln w="9525" cmpd="sng">
          <a:noFill/>
        </a:ln>
        <a:effectLst>
          <a:outerShdw blurRad="50800" dist="38100" algn="l" rotWithShape="0">
            <a:schemeClr val="tx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EF83B3-9C0C-4C57-8619-D8D2333A678F}" type="TxLink">
            <a:rPr lang="en-US" sz="1100" b="0" i="0" u="none" strike="noStrike">
              <a:solidFill>
                <a:schemeClr val="tx1"/>
              </a:solidFill>
              <a:latin typeface="Calibri"/>
              <a:cs typeface="Calibri"/>
            </a:rPr>
            <a:pPr/>
            <a:t>138,075 </a:t>
          </a:fld>
          <a:r>
            <a:rPr lang="en-US" sz="1400" b="0" i="0" u="none" strike="noStrike">
              <a:solidFill>
                <a:schemeClr val="accent6"/>
              </a:solidFill>
              <a:latin typeface="Calibri"/>
              <a:cs typeface="Calibri"/>
            </a:rPr>
            <a:t>Total Order</a:t>
          </a:r>
          <a:endParaRPr lang="en-US" sz="1400">
            <a:solidFill>
              <a:schemeClr val="accent6"/>
            </a:solidFill>
          </a:endParaRPr>
        </a:p>
      </xdr:txBody>
    </xdr:sp>
    <xdr:clientData/>
  </xdr:twoCellAnchor>
  <xdr:twoCellAnchor editAs="oneCell">
    <xdr:from>
      <xdr:col>0</xdr:col>
      <xdr:colOff>328612</xdr:colOff>
      <xdr:row>2</xdr:row>
      <xdr:rowOff>28575</xdr:rowOff>
    </xdr:from>
    <xdr:to>
      <xdr:col>2</xdr:col>
      <xdr:colOff>481012</xdr:colOff>
      <xdr:row>7</xdr:row>
      <xdr:rowOff>114300</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629A8251-BEBC-411A-9994-BE8E1449706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8612" y="409575"/>
              <a:ext cx="13716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328612</xdr:colOff>
      <xdr:row>8</xdr:row>
      <xdr:rowOff>105791</xdr:rowOff>
    </xdr:from>
    <xdr:to>
      <xdr:col>2</xdr:col>
      <xdr:colOff>481012</xdr:colOff>
      <xdr:row>13</xdr:row>
      <xdr:rowOff>181991</xdr:rowOff>
    </xdr:to>
    <mc:AlternateContent xmlns:mc="http://schemas.openxmlformats.org/markup-compatibility/2006" xmlns:a14="http://schemas.microsoft.com/office/drawing/2010/main">
      <mc:Choice Requires="a14">
        <xdr:graphicFrame macro="">
          <xdr:nvGraphicFramePr>
            <xdr:cNvPr id="17" name="Buyer Type">
              <a:extLst>
                <a:ext uri="{FF2B5EF4-FFF2-40B4-BE49-F238E27FC236}">
                  <a16:creationId xmlns:a16="http://schemas.microsoft.com/office/drawing/2014/main" id="{92BCDB90-A147-41A5-AC8A-11A27884D722}"/>
                </a:ext>
              </a:extLst>
            </xdr:cNvPr>
            <xdr:cNvGraphicFramePr/>
          </xdr:nvGraphicFramePr>
          <xdr:xfrm>
            <a:off x="0" y="0"/>
            <a:ext cx="0" cy="0"/>
          </xdr:xfrm>
          <a:graphic>
            <a:graphicData uri="http://schemas.microsoft.com/office/drawing/2010/slicer">
              <sle:slicer xmlns:sle="http://schemas.microsoft.com/office/drawing/2010/slicer" name="Buyer Type"/>
            </a:graphicData>
          </a:graphic>
        </xdr:graphicFrame>
      </mc:Choice>
      <mc:Fallback xmlns="">
        <xdr:sp macro="" textlink="">
          <xdr:nvSpPr>
            <xdr:cNvPr id="0" name=""/>
            <xdr:cNvSpPr>
              <a:spLocks noTextEdit="1"/>
            </xdr:cNvSpPr>
          </xdr:nvSpPr>
          <xdr:spPr>
            <a:xfrm>
              <a:off x="328612" y="1629791"/>
              <a:ext cx="13716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14</xdr:row>
      <xdr:rowOff>173482</xdr:rowOff>
    </xdr:from>
    <xdr:to>
      <xdr:col>2</xdr:col>
      <xdr:colOff>485775</xdr:colOff>
      <xdr:row>21</xdr:row>
      <xdr:rowOff>56134</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867A2D06-9F68-41D0-A901-E71343CB774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8612" y="2840482"/>
              <a:ext cx="1371600" cy="1216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328612</xdr:colOff>
      <xdr:row>22</xdr:row>
      <xdr:rowOff>47625</xdr:rowOff>
    </xdr:from>
    <xdr:to>
      <xdr:col>2</xdr:col>
      <xdr:colOff>481012</xdr:colOff>
      <xdr:row>28</xdr:row>
      <xdr:rowOff>120777</xdr:rowOff>
    </xdr:to>
    <mc:AlternateContent xmlns:mc="http://schemas.openxmlformats.org/markup-compatibility/2006" xmlns:a14="http://schemas.microsoft.com/office/drawing/2010/main">
      <mc:Choice Requires="a14">
        <xdr:graphicFrame macro="">
          <xdr:nvGraphicFramePr>
            <xdr:cNvPr id="19" name="Discount Band">
              <a:extLst>
                <a:ext uri="{FF2B5EF4-FFF2-40B4-BE49-F238E27FC236}">
                  <a16:creationId xmlns:a16="http://schemas.microsoft.com/office/drawing/2014/main" id="{9A83772F-969E-4E6D-AC18-D2EC58447EF4}"/>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328612" y="4238625"/>
              <a:ext cx="1371600" cy="1216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85725</xdr:colOff>
      <xdr:row>8</xdr:row>
      <xdr:rowOff>9525</xdr:rowOff>
    </xdr:from>
    <xdr:to>
      <xdr:col>18</xdr:col>
      <xdr:colOff>9525</xdr:colOff>
      <xdr:row>9</xdr:row>
      <xdr:rowOff>66675</xdr:rowOff>
    </xdr:to>
    <xdr:sp macro="" textlink="">
      <xdr:nvSpPr>
        <xdr:cNvPr id="20" name="TextBox 19">
          <a:extLst>
            <a:ext uri="{FF2B5EF4-FFF2-40B4-BE49-F238E27FC236}">
              <a16:creationId xmlns:a16="http://schemas.microsoft.com/office/drawing/2014/main" id="{4E299340-A5F8-9386-5397-6007C4DCC879}"/>
            </a:ext>
          </a:extLst>
        </xdr:cNvPr>
        <xdr:cNvSpPr txBox="1"/>
      </xdr:nvSpPr>
      <xdr:spPr>
        <a:xfrm>
          <a:off x="9839325" y="1533525"/>
          <a:ext cx="11430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Discount</a:t>
          </a:r>
          <a:r>
            <a:rPr lang="en-US" sz="1100" baseline="0"/>
            <a:t> bound</a:t>
          </a:r>
          <a:endParaRPr lang="en-US" sz="1100"/>
        </a:p>
      </xdr:txBody>
    </xdr:sp>
    <xdr:clientData/>
  </xdr:twoCellAnchor>
  <xdr:twoCellAnchor>
    <xdr:from>
      <xdr:col>10</xdr:col>
      <xdr:colOff>47625</xdr:colOff>
      <xdr:row>18</xdr:row>
      <xdr:rowOff>104775</xdr:rowOff>
    </xdr:from>
    <xdr:to>
      <xdr:col>19</xdr:col>
      <xdr:colOff>104775</xdr:colOff>
      <xdr:row>28</xdr:row>
      <xdr:rowOff>161925</xdr:rowOff>
    </xdr:to>
    <xdr:graphicFrame macro="">
      <xdr:nvGraphicFramePr>
        <xdr:cNvPr id="21" name="Chart 20">
          <a:extLst>
            <a:ext uri="{FF2B5EF4-FFF2-40B4-BE49-F238E27FC236}">
              <a16:creationId xmlns:a16="http://schemas.microsoft.com/office/drawing/2014/main" id="{303E286E-61DC-4C16-B41F-68648B827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408547453706" backgroundQuery="1" createdVersion="8" refreshedVersion="8" minRefreshableVersion="3" recordCount="0" supportSubquery="1" supportAdvancedDrill="1" xr:uid="{447A84DF-C50B-4360-8F31-2995258082B3}">
  <cacheSource type="external" connectionId="1"/>
  <cacheFields count="2">
    <cacheField name="[Measures].[Sum of Net Sales]" caption="Sum of Net Sales" numFmtId="0" hierarchy="20" level="32767"/>
    <cacheField name="[Table_1].[Discount Band].[Discount Band]" caption="Discount Band" numFmtId="0" hierarchy="5" level="1">
      <sharedItems count="4">
        <s v="High"/>
        <s v="Low"/>
        <s v="Medium"/>
        <s v="None"/>
      </sharedItems>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Discount Band]" caption="Discount Band" attribute="1" defaultMemberUniqueName="[Table_1].[Discount Band].[All]" allUniqueName="[Table_1].[Discount Band].[All]" dimensionUniqueName="[Table_1]" displayFolder="" count="2" memberValueDatatype="130" unbalanced="0">
      <fieldsUsage count="2">
        <fieldUsage x="-1"/>
        <fieldUsage x="1"/>
      </fieldsUsage>
    </cacheHierarchy>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7.826510185187" backgroundQuery="1" createdVersion="8" refreshedVersion="8" minRefreshableVersion="3" recordCount="0" supportSubquery="1" supportAdvancedDrill="1" xr:uid="{4DD7B556-EB52-4B72-9D39-D256C0449971}">
  <cacheSource type="external" connectionId="1"/>
  <cacheFields count="4">
    <cacheField name="[Measures].[Sum of Net Sales]" caption="Sum of Net Sales" numFmtId="0" hierarchy="20" level="32767"/>
    <cacheField name="[Measures].[Sum of Cost]" caption="Sum of Cost" numFmtId="0" hierarchy="21" level="32767"/>
    <cacheField name="[Measures].[profit]" caption="profit" numFmtId="0" hierarchy="17" level="32767"/>
    <cacheField name="[Table_1].[Product].[Product]" caption="Product" numFmtId="0" hierarchy="4" level="1">
      <sharedItems containsSemiMixedTypes="0" containsNonDate="0" containsString="0"/>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3"/>
      </fieldsUsage>
    </cacheHierarchy>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oneField="1">
      <fieldsUsage count="1">
        <fieldUsage x="2"/>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03.651187152776" backgroundQuery="1" createdVersion="8" refreshedVersion="8" minRefreshableVersion="3" recordCount="0" supportSubquery="1" supportAdvancedDrill="1" xr:uid="{2427CDD6-E9FA-42E9-A7F3-BB8BC04C18C4}">
  <cacheSource type="external" connectionId="1"/>
  <cacheFields count="2">
    <cacheField name="[Measures].[Sum of Net Sales]" caption="Sum of Net Sales" numFmtId="0" hierarchy="20" level="32767"/>
    <cacheField name="[Table_1].[Country].[Country]" caption="Country" numFmtId="0" hierarchy="3" level="1">
      <sharedItems count="5">
        <s v="France"/>
        <s v="Germany"/>
        <s v="Greece"/>
        <s v="Italy"/>
        <s v="UK"/>
      </sharedItems>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1"/>
      </fieldsUsage>
    </cacheHierarchy>
    <cacheHierarchy uniqueName="[Table_1].[Product]" caption="Product" attribute="1" defaultMemberUniqueName="[Table_1].[Product].[All]" allUniqueName="[Table_1].[Product].[All]" dimensionUniqueName="[Table_1]" displayFolder="" count="0" memberValueDatatype="130" unbalanced="0"/>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408548495368" backgroundQuery="1" createdVersion="8" refreshedVersion="8" minRefreshableVersion="3" recordCount="0" supportSubquery="1" supportAdvancedDrill="1" xr:uid="{F3C86C24-FE28-4405-8393-22501B70FD81}">
  <cacheSource type="external" connectionId="1"/>
  <cacheFields count="2">
    <cacheField name="[Measures].[Sum of Units Sold]" caption="Sum of Units Sold" numFmtId="0" hierarchy="22" level="32767"/>
    <cacheField name="[Table_1].[Buyer Type].[Buyer Type]" caption="Buyer Type" numFmtId="0" hierarchy="2" level="1">
      <sharedItems count="5">
        <s v="Corporations"/>
        <s v="Institutions"/>
        <s v="MiniMarkets"/>
        <s v="Resellers"/>
        <s v="SuperMarkets"/>
      </sharedItems>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2" memberValueDatatype="130" unbalanced="0">
      <fieldsUsage count="2">
        <fieldUsage x="-1"/>
        <fieldUsage x="1"/>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0" memberValueDatatype="130" unbalanced="0"/>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7.826510300925" backgroundQuery="1" createdVersion="8" refreshedVersion="8" minRefreshableVersion="3" recordCount="0" supportSubquery="1" supportAdvancedDrill="1" xr:uid="{7753F171-8A16-4D43-ABEC-1C486815CE81}">
  <cacheSource type="external" connectionId="1"/>
  <cacheFields count="2">
    <cacheField name="[Measures].[Sum of Units Sold]" caption="Sum of Units Sold" numFmtId="0" hierarchy="22" level="32767"/>
    <cacheField name="[Table_1].[Product].[Product]" caption="Product" numFmtId="0" hierarchy="4" level="1">
      <sharedItems containsSemiMixedTypes="0" containsNonDate="0" containsString="0"/>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1"/>
      </fieldsUsage>
    </cacheHierarchy>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408546412036" backgroundQuery="1" createdVersion="8" refreshedVersion="8" minRefreshableVersion="3" recordCount="0" supportSubquery="1" supportAdvancedDrill="1" xr:uid="{D31FBF64-10A3-41A4-903F-32669272576A}">
  <cacheSource type="external" connectionId="1"/>
  <cacheFields count="2">
    <cacheField name="[Measures].[profit]" caption="profit" numFmtId="0" hierarchy="17" level="32767"/>
    <cacheField name="[Table_1].[Product].[Product]" caption="Product" numFmtId="0" hierarchy="4" level="1">
      <sharedItems count="6">
        <s v="Camera 1"/>
        <s v="Camera 2"/>
        <s v="Camera 3"/>
        <s v="Camera 4"/>
        <s v="Camera 5"/>
        <s v="Camera 6"/>
      </sharedItems>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1"/>
      </fieldsUsage>
    </cacheHierarchy>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oneField="1">
      <fieldsUsage count="1">
        <fieldUsage x="0"/>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7.826511805557" backgroundQuery="1" createdVersion="8" refreshedVersion="8" minRefreshableVersion="3" recordCount="0" supportSubquery="1" supportAdvancedDrill="1" xr:uid="{D25CDDB0-D704-4C45-AD5B-BDAF29249C3E}">
  <cacheSource type="external" connectionId="1"/>
  <cacheFields count="2">
    <cacheField name="[Table_1].[Product].[Product]" caption="Product" numFmtId="0" hierarchy="4" level="1">
      <sharedItems count="6">
        <s v="Camera 1"/>
        <s v="Camera 2"/>
        <s v="Camera 3"/>
        <s v="Camera 4"/>
        <s v="Camera 5"/>
        <s v="Camera 6"/>
      </sharedItems>
    </cacheField>
    <cacheField name="[Measures].[profit]" caption="profit" numFmtId="0" hierarchy="17" level="32767"/>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0"/>
      </fieldsUsage>
    </cacheHierarchy>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oneField="1">
      <fieldsUsage count="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7.826511342595" backgroundQuery="1" createdVersion="8" refreshedVersion="8" minRefreshableVersion="3" recordCount="0" supportSubquery="1" supportAdvancedDrill="1" xr:uid="{8D49E5F2-89E0-4E3D-BF76-AEAF26BE273B}">
  <cacheSource type="external" connectionId="1"/>
  <cacheFields count="3">
    <cacheField name="[Measures].[Sum of Net Sales]" caption="Sum of Net Sales" numFmtId="0" hierarchy="20" level="32767"/>
    <cacheField name="[Table_1].[Discount Band].[Discount Band]" caption="Discount Band" numFmtId="0" hierarchy="5" level="1">
      <sharedItems count="4">
        <s v="High"/>
        <s v="Low"/>
        <s v="Medium"/>
        <s v="None"/>
      </sharedItems>
    </cacheField>
    <cacheField name="[Table_1].[Product].[Product]" caption="Product" numFmtId="0" hierarchy="4" level="1">
      <sharedItems containsSemiMixedTypes="0" containsNonDate="0" containsString="0"/>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2"/>
      </fieldsUsage>
    </cacheHierarchy>
    <cacheHierarchy uniqueName="[Table_1].[Discount Band]" caption="Discount Band" attribute="1" defaultMemberUniqueName="[Table_1].[Discount Band].[All]" allUniqueName="[Table_1].[Discount Band].[All]" dimensionUniqueName="[Table_1]" displayFolder="" count="2" memberValueDatatype="130" unbalanced="0">
      <fieldsUsage count="2">
        <fieldUsage x="-1"/>
        <fieldUsage x="1"/>
      </fieldsUsage>
    </cacheHierarchy>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7.826509606479" backgroundQuery="1" createdVersion="8" refreshedVersion="8" minRefreshableVersion="3" recordCount="0" supportSubquery="1" supportAdvancedDrill="1" xr:uid="{80BDCA06-2EE2-4F8F-BB67-EA8CE73BB3DE}">
  <cacheSource type="external" connectionId="1"/>
  <cacheFields count="3">
    <cacheField name="[Table_1].[Date (Month)].[Date (Month)]" caption="Date (Month)" numFmtId="0" hierarchy="15" level="1">
      <sharedItems count="12">
        <s v="Jan"/>
        <s v="Feb"/>
        <s v="Mar"/>
        <s v="Apr"/>
        <s v="May"/>
        <s v="Jun"/>
        <s v="Jul"/>
        <s v="Aug"/>
        <s v="Sep"/>
        <s v="Oct"/>
        <s v="Nov"/>
        <s v="Dec"/>
      </sharedItems>
    </cacheField>
    <cacheField name="[Measures].[profit]" caption="profit" numFmtId="0" hierarchy="17" level="32767"/>
    <cacheField name="[Table_1].[Product].[Product]" caption="Product" numFmtId="0" hierarchy="4" level="1">
      <sharedItems containsSemiMixedTypes="0" containsNonDate="0" containsString="0"/>
    </cacheField>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fieldsUsage count="2">
        <fieldUsage x="-1"/>
        <fieldUsage x="2"/>
      </fieldsUsage>
    </cacheHierarchy>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2" memberValueDatatype="130" unbalanced="0">
      <fieldsUsage count="2">
        <fieldUsage x="-1"/>
        <fieldUsage x="0"/>
      </fieldsUsage>
    </cacheHierarchy>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oneField="1">
      <fieldsUsage count="1">
        <fieldUsage x="1"/>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03.653044328705" backgroundQuery="1" createdVersion="8" refreshedVersion="8" minRefreshableVersion="3" recordCount="0" supportSubquery="1" supportAdvancedDrill="1" xr:uid="{3EE3CECD-18F2-4803-B67E-44345E4A7132}">
  <cacheSource type="external" connectionId="1"/>
  <cacheFields count="1">
    <cacheField name="[Measures].[Sum of OrderId]" caption="Sum of OrderId" numFmtId="0" hierarchy="25" level="32767"/>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03.654183333332" backgroundQuery="1" createdVersion="8" refreshedVersion="8" minRefreshableVersion="3" recordCount="0" supportSubquery="1" supportAdvancedDrill="1" xr:uid="{FB30C7C8-2D6E-4A33-BBB1-A9F7D07B6A8A}">
  <cacheSource type="external" connectionId="1"/>
  <cacheFields count="2">
    <cacheField name="[Table_1].[Country].[Country]" caption="Country" numFmtId="0" hierarchy="3" level="1">
      <sharedItems count="5">
        <s v="France"/>
        <s v="Germany"/>
        <s v="Greece"/>
        <s v="Italy"/>
        <s v="UK"/>
      </sharedItems>
    </cacheField>
    <cacheField name="[Measures].[Sum of Net Sales]" caption="Sum of Net Sales" numFmtId="0" hierarchy="20" level="32767"/>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0" memberValueDatatype="130" unbalanced="0"/>
    <cacheHierarchy uniqueName="[Table_1].[Country]" caption="Country" attribute="1" defaultMemberUniqueName="[Table_1].[Country].[All]" allUniqueName="[Table_1].[Country].[All]" dimensionUniqueName="[Table_1]" displayFolder="" count="2" memberValueDatatype="130" unbalanced="0">
      <fieldsUsage count="2">
        <fieldUsage x="-1"/>
        <fieldUsage x="0"/>
      </fieldsUsage>
    </cacheHierarchy>
    <cacheHierarchy uniqueName="[Table_1].[Product]" caption="Product" attribute="1" defaultMemberUniqueName="[Table_1].[Product].[All]" allUniqueName="[Table_1].[Product].[All]" dimensionUniqueName="[Table_1]" displayFolder="" count="2" memberValueDatatype="130" unbalanced="0"/>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03.654340046298" backgroundQuery="1" createdVersion="8" refreshedVersion="8" minRefreshableVersion="3" recordCount="0" supportSubquery="1" supportAdvancedDrill="1" xr:uid="{889D8BC4-C9A3-4D32-A636-F8D65F186A7C}">
  <cacheSource type="external" connectionId="1"/>
  <cacheFields count="2">
    <cacheField name="[Table_1].[Buyer Type].[Buyer Type]" caption="Buyer Type" numFmtId="0" hierarchy="2" level="1">
      <sharedItems count="5">
        <s v="Corporations"/>
        <s v="Institutions"/>
        <s v="MiniMarkets"/>
        <s v="Resellers"/>
        <s v="SuperMarkets"/>
      </sharedItems>
    </cacheField>
    <cacheField name="[Measures].[Sum of Units Sold]" caption="Sum of Units Sold" numFmtId="0" hierarchy="22" level="32767"/>
  </cacheFields>
  <cacheHierarchies count="27">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2" memberValueDatatype="130" unbalanced="0">
      <fieldsUsage count="2">
        <fieldUsage x="-1"/>
        <fieldUsage x="0"/>
      </fieldsUsage>
    </cacheHierarchy>
    <cacheHierarchy uniqueName="[Table_1].[Country]" caption="Country" attribute="1" defaultMemberUniqueName="[Table_1].[Country].[All]" allUniqueName="[Table_1].[Country].[All]" dimensionUniqueName="[Table_1]" displayFolder="" count="0"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Discount Band]" caption="Discount Band" attribute="1" defaultMemberUniqueName="[Table_1].[Discount Band].[All]" allUniqueName="[Table_1].[Discount Band].[All]" dimensionUniqueName="[Table_1]" displayFolder="" count="0"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_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893373148145" backgroundQuery="1" createdVersion="3" refreshedVersion="8" minRefreshableVersion="3" recordCount="0" supportSubquery="1" supportAdvancedDrill="1" xr:uid="{5CA9DFE4-DDDB-4590-B16B-708D3F2F6C0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_1].[OrderId]" caption="OrderId" attribute="1" defaultMemberUniqueName="[Table_1].[OrderId].[All]" allUniqueName="[Table_1].[OrderId].[All]" dimensionUniqueName="[Table_1]" displayFolder="" count="0" memberValueDatatype="20" unbalanced="0"/>
    <cacheHierarchy uniqueName="[Table_1].[Date]" caption="Date" attribute="1" time="1" defaultMemberUniqueName="[Table_1].[Date].[All]" allUniqueName="[Table_1].[Date].[All]" dimensionUniqueName="[Table_1]" displayFolder="" count="0" memberValueDatatype="7" unbalanced="0"/>
    <cacheHierarchy uniqueName="[Table_1].[Buyer Type]" caption="Buyer Type" attribute="1" defaultMemberUniqueName="[Table_1].[Buyer Type].[All]" allUniqueName="[Table_1].[Buyer Type].[All]" dimensionUniqueName="[Table_1]" displayFolder="" count="2" memberValueDatatype="130" unbalanced="0"/>
    <cacheHierarchy uniqueName="[Table_1].[Country]" caption="Country" attribute="1" defaultMemberUniqueName="[Table_1].[Country].[All]" allUniqueName="[Table_1].[Country].[All]" dimensionUniqueName="[Table_1]" displayFolder="" count="2" memberValueDatatype="130" unbalanced="0"/>
    <cacheHierarchy uniqueName="[Table_1].[Product]" caption="Product" attribute="1" defaultMemberUniqueName="[Table_1].[Product].[All]" allUniqueName="[Table_1].[Product].[All]" dimensionUniqueName="[Table_1]" displayFolder="" count="2" memberValueDatatype="130" unbalanced="0"/>
    <cacheHierarchy uniqueName="[Table_1].[Discount Band]" caption="Discount Band" attribute="1" defaultMemberUniqueName="[Table_1].[Discount Band].[All]" allUniqueName="[Table_1].[Discount Band].[All]" dimensionUniqueName="[Table_1]" displayFolder="" count="2" memberValueDatatype="130" unbalanced="0"/>
    <cacheHierarchy uniqueName="[Table_1].[Units Sold]" caption="Units Sold" attribute="1" defaultMemberUniqueName="[Table_1].[Units Sold].[All]" allUniqueName="[Table_1].[Units Sold].[All]" dimensionUniqueName="[Table_1]" displayFolder="" count="0" memberValueDatatype="5" unbalanced="0"/>
    <cacheHierarchy uniqueName="[Table_1].[Unit Price]" caption="Unit Price" attribute="1" defaultMemberUniqueName="[Table_1].[Unit Price].[All]" allUniqueName="[Table_1].[Unit Price].[All]" dimensionUniqueName="[Table_1]" displayFolder="" count="0" memberValueDatatype="20" unbalanced="0"/>
    <cacheHierarchy uniqueName="[Table_1].[Sale Price]" caption="Sale Price" attribute="1" defaultMemberUniqueName="[Table_1].[Sale Price].[All]" allUniqueName="[Table_1].[Sale Price].[All]" dimensionUniqueName="[Table_1]" displayFolder="" count="0" memberValueDatatype="20" unbalanced="0"/>
    <cacheHierarchy uniqueName="[Table_1].[Gross Sales]" caption="Gross Sales" attribute="1" defaultMemberUniqueName="[Table_1].[Gross Sales].[All]" allUniqueName="[Table_1].[Gross Sales].[All]" dimensionUniqueName="[Table_1]" displayFolder="" count="0" memberValueDatatype="5" unbalanced="0"/>
    <cacheHierarchy uniqueName="[Table_1].[Discount Type]" caption="Discount Type" attribute="1" defaultMemberUniqueName="[Table_1].[Discount Type].[All]" allUniqueName="[Table_1].[Discount Type].[All]" dimensionUniqueName="[Table_1]" displayFolder="" count="0" memberValueDatatype="5" unbalanced="0"/>
    <cacheHierarchy uniqueName="[Table_1].[Net Sales]" caption="Net Sales" attribute="1" defaultMemberUniqueName="[Table_1].[Net Sales].[All]" allUniqueName="[Table_1].[Net Sales].[All]" dimensionUniqueName="[Table_1]" displayFolder="" count="0" memberValueDatatype="5" unbalanced="0"/>
    <cacheHierarchy uniqueName="[Table_1].[Cost]" caption="Cost" attribute="1" defaultMemberUniqueName="[Table_1].[Cost].[All]" allUniqueName="[Table_1].[Cost].[All]" dimensionUniqueName="[Table_1]" displayFolder="" count="0" memberValueDatatype="5" unbalanced="0"/>
    <cacheHierarchy uniqueName="[Table_1].[Date (Year)]" caption="Date (Year)" attribute="1" defaultMemberUniqueName="[Table_1].[Date (Year)].[All]" allUniqueName="[Table_1].[Date (Year)].[All]" dimensionUniqueName="[Table_1]" displayFolder="" count="0" memberValueDatatype="130" unbalanced="0"/>
    <cacheHierarchy uniqueName="[Table_1].[Date (Quarter)]" caption="Date (Quarter)" attribute="1" defaultMemberUniqueName="[Table_1].[Date (Quarter)].[All]" allUniqueName="[Table_1].[Date (Quarter)].[All]" dimensionUniqueName="[Table_1]" displayFolder="" count="0" memberValueDatatype="130" unbalanced="0"/>
    <cacheHierarchy uniqueName="[Table_1].[Date (Month)]" caption="Date (Month)" attribute="1" defaultMemberUniqueName="[Table_1].[Date (Month)].[All]" allUniqueName="[Table_1].[Date (Month)].[All]" dimensionUniqueName="[Table_1]" displayFolder="" count="0" memberValueDatatype="130" unbalanced="0"/>
    <cacheHierarchy uniqueName="[Table_1].[Date (Month Index)]" caption="Date (Month Index)" attribute="1" defaultMemberUniqueName="[Table_1].[Date (Month Index)].[All]" allUniqueName="[Table_1].[Date (Month Index)].[All]" dimensionUniqueName="[Table_1]" displayFolder="" count="0" memberValueDatatype="20" unbalanced="0" hidden="1"/>
    <cacheHierarchy uniqueName="[Measures].[profit]" caption="profit" measure="1" displayFolder="" measureGroup="Table_1" count="0"/>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Net Sales]" caption="Sum of Net Sales" measure="1" displayFolder="" measureGroup="Table_1" count="0" hidden="1">
      <extLst>
        <ext xmlns:x15="http://schemas.microsoft.com/office/spreadsheetml/2010/11/main" uri="{B97F6D7D-B522-45F9-BDA1-12C45D357490}">
          <x15:cacheHierarchy aggregatedColumn="11"/>
        </ext>
      </extLst>
    </cacheHierarchy>
    <cacheHierarchy uniqueName="[Measures].[Sum of Cost]" caption="Sum of Cost" measure="1" displayFolder="" measureGroup="Table_1" count="0" hidden="1">
      <extLst>
        <ext xmlns:x15="http://schemas.microsoft.com/office/spreadsheetml/2010/11/main" uri="{B97F6D7D-B522-45F9-BDA1-12C45D357490}">
          <x15:cacheHierarchy aggregatedColumn="12"/>
        </ext>
      </extLst>
    </cacheHierarchy>
    <cacheHierarchy uniqueName="[Measures].[Sum of Units Sold]" caption="Sum of Units Sold" measure="1" displayFolder="" measureGroup="Table_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_1" count="0" hidden="1">
      <extLst>
        <ext xmlns:x15="http://schemas.microsoft.com/office/spreadsheetml/2010/11/main" uri="{B97F6D7D-B522-45F9-BDA1-12C45D357490}">
          <x15:cacheHierarchy aggregatedColumn="7"/>
        </ext>
      </extLst>
    </cacheHierarchy>
    <cacheHierarchy uniqueName="[Measures].[Sum of Discount Type]" caption="Sum of Discount Type" measure="1" displayFolder="" measureGroup="Table_1" count="0" hidden="1">
      <extLst>
        <ext xmlns:x15="http://schemas.microsoft.com/office/spreadsheetml/2010/11/main" uri="{B97F6D7D-B522-45F9-BDA1-12C45D357490}">
          <x15:cacheHierarchy aggregatedColumn="10"/>
        </ext>
      </extLst>
    </cacheHierarchy>
    <cacheHierarchy uniqueName="[Measures].[Sum of OrderId]" caption="Sum of OrderId" measure="1" displayFolder="" measureGroup="Table_1"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640624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FF2B2-23ED-495E-847B-DD57D137F5FE}" name="PivotTable6"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8:B43"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i>
    <i>
      <x v="2"/>
    </i>
    <i>
      <x v="1"/>
    </i>
    <i>
      <x v="3"/>
    </i>
    <i t="grand">
      <x/>
    </i>
  </rowItems>
  <colItems count="1">
    <i/>
  </colItems>
  <dataFields count="1">
    <dataField name="Sum of Net Sales" fld="0" baseField="0" baseItem="0" numFmtId="8"/>
  </dataFields>
  <formats count="1">
    <format dxfId="87">
      <pivotArea outline="0" collapsedLevelsAreSubtotals="1" fieldPosition="0"/>
    </format>
  </formats>
  <conditionalFormats count="2">
    <conditionalFormat type="all"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type="all"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D2D66D-B42F-4A72-B39B-F3BAFCF0E556}" name="REVENUE"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Net Sales" fld="0" baseField="0" baseItem="0"/>
    <dataField name="Sum of Cost" fld="1" baseField="0" baseItem="0"/>
    <dataField fld="2" subtotal="count" baseField="0" baseItem="0"/>
  </dataFields>
  <formats count="1">
    <format dxfId="88">
      <pivotArea outline="0" collapsedLevelsAreSubtotals="1" fieldPosition="0"/>
    </format>
  </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3B07DE-AFD8-4530-A77C-A5E945C9F19C}" name="PivotTable3"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B16"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i>
    <i>
      <x v="3"/>
    </i>
    <i>
      <x v="1"/>
    </i>
    <i>
      <x v="2"/>
    </i>
    <i t="grand">
      <x/>
    </i>
  </rowItems>
  <colItems count="1">
    <i/>
  </colItems>
  <dataFields count="1">
    <dataField name="Sum of Net Sales" fld="0" baseField="0" baseItem="0" numFmtId="8"/>
  </dataFields>
  <formats count="1">
    <format dxfId="89">
      <pivotArea outline="0" collapsedLevelsAreSubtotals="1" fieldPosition="0"/>
    </format>
  </formats>
  <conditionalFormats count="3">
    <conditionalFormat type="all" priority="9">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 type="all" priority="8">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 type="all" priority="7">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9FFEE-5E0A-4E30-85E2-8A5BF869A512}" name="PivotTable4"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B25"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1"/>
    </i>
    <i>
      <x/>
    </i>
    <i>
      <x v="4"/>
    </i>
    <i>
      <x v="3"/>
    </i>
    <i>
      <x v="2"/>
    </i>
    <i t="grand">
      <x/>
    </i>
  </rowItems>
  <colItems count="1">
    <i/>
  </colItems>
  <dataFields count="1">
    <dataField name="Sum of Units Sold" fld="0" baseField="0" baseItem="0" numFmtId="8"/>
  </dataFields>
  <formats count="1">
    <format dxfId="90">
      <pivotArea outline="0" collapsedLevelsAreSubtotals="1" fieldPosition="0"/>
    </format>
  </formats>
  <conditionalFormats count="2">
    <conditionalFormat type="all" priority="6">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 type="all" priority="5">
      <pivotAreas count="1">
        <pivotArea type="data" collapsedLevelsAreSubtotals="1" fieldPosition="0">
          <references count="2">
            <reference field="4294967294" count="1" selected="0">
              <x v="0"/>
            </reference>
            <reference field="1" count="5">
              <x v="0"/>
              <x v="1"/>
              <x v="2"/>
              <x v="3"/>
              <x v="4"/>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06AA31-4DB9-42EF-84A8-64478EA0B617}" name="ORDER"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6:A47" firstHeaderRow="1" firstDataRow="1" firstDataCol="0"/>
  <pivotFields count="1">
    <pivotField dataField="1" subtotalTop="0" showAll="0" defaultSubtotal="0"/>
  </pivotFields>
  <rowItems count="1">
    <i/>
  </rowItems>
  <colItems count="1">
    <i/>
  </colItems>
  <dataFields count="1">
    <dataField name="Sum of OrderId" fld="0" baseField="0" baseItem="0"/>
  </dataFields>
  <formats count="1">
    <format dxfId="91">
      <pivotArea outline="0" collapsedLevelsAreSubtotals="1" fieldPosition="0"/>
    </format>
  </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OrderId"/>
    <pivotHierarchy dragToData="1" caption="Count of OrderId"/>
  </pivotHierarchies>
  <pivotTableStyleInfo name="PivotStyleMedium2" showRowHeaders="1" showColHeaders="1" showRowStripes="0" showColStripes="1"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B1AB6-12D6-42A1-BEBA-DE9105DDB498}" name="UNITSOLD"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689AF2-3387-41BA-B255-397110A77E34}" name="PivotTable5"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8:B35"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5"/>
    </i>
    <i>
      <x v="4"/>
    </i>
    <i>
      <x v="3"/>
    </i>
    <i>
      <x v="2"/>
    </i>
    <i>
      <x v="1"/>
    </i>
    <i>
      <x/>
    </i>
    <i t="grand">
      <x/>
    </i>
  </rowItems>
  <colItems count="1">
    <i/>
  </colItems>
  <dataFields count="1">
    <dataField fld="0" subtotal="count" baseField="0" baseItem="0" numFmtId="8"/>
  </dataFields>
  <formats count="1">
    <format dxfId="92">
      <pivotArea outline="0" collapsedLevelsAreSubtotals="1" fieldPosition="0"/>
    </format>
  </formats>
  <conditionalFormats count="2">
    <conditionalFormat type="all" priority="4">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 type="all" priority="3">
      <pivotAreas count="1">
        <pivotArea type="data" collapsedLevelsAreSubtotals="1" fieldPosition="0">
          <references count="2">
            <reference field="4294967294" count="1" selected="0">
              <x v="0"/>
            </reference>
            <reference field="1" count="6">
              <x v="0"/>
              <x v="1"/>
              <x v="2"/>
              <x v="3"/>
              <x v="4"/>
              <x v="5"/>
            </reference>
          </references>
        </pivotArea>
      </pivotAreas>
    </conditionalFormat>
  </conditional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DFE2E4-CC1E-4C64-9B30-B8D66A04D3A5}" name="PRODUCT"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5:B42" firstHeaderRow="1" firstDataRow="1" firstDataCol="1"/>
  <pivotFields count="2">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v="4"/>
    </i>
    <i>
      <x v="3"/>
    </i>
    <i>
      <x v="2"/>
    </i>
    <i>
      <x v="1"/>
    </i>
    <i>
      <x/>
    </i>
    <i t="grand">
      <x/>
    </i>
  </rowItems>
  <colItems count="1">
    <i/>
  </colItems>
  <dataFields count="1">
    <dataField fld="1" subtotal="count" baseField="0" baseItem="0" numFmtId="8"/>
  </dataFields>
  <formats count="1">
    <format dxfId="8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EC7498-6EAB-462C-ADA8-06F53C7B9D11}" name="DISCOUNTBAND"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1:B2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Net Sales" fld="0" baseField="0" baseItem="0" numFmtId="8"/>
  </dataFields>
  <formats count="1">
    <format dxfId="84">
      <pivotArea outline="0" collapsedLevelsAreSubtotals="1" fieldPosition="0"/>
    </format>
  </formats>
  <conditionalFormats count="2">
    <conditionalFormat type="all"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type="all"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16D0BB-A82C-4126-85B6-12E08CB2F09E}" name="COUNTRY"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B9"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i>
    <i>
      <x v="3"/>
    </i>
    <i>
      <x v="1"/>
    </i>
    <i>
      <x v="2"/>
    </i>
    <i t="grand">
      <x/>
    </i>
  </rowItems>
  <colItems count="1">
    <i/>
  </colItems>
  <dataFields count="1">
    <dataField name="Sum of Net Sales" fld="1" baseField="0" baseItem="0" numFmtId="8"/>
  </dataFields>
  <formats count="1">
    <format dxfId="85">
      <pivotArea outline="0" collapsedLevelsAreSubtotals="1" fieldPosition="0"/>
    </format>
  </formats>
  <conditionalFormats count="2">
    <conditionalFormat type="all" priority="6">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 type="all" priority="5">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62C46A-8741-4C6E-8360-F8C7E1BA6E3A}" name="BUYERTYPE"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2:B18"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i>
    <i>
      <x v="4"/>
    </i>
    <i>
      <x v="3"/>
    </i>
    <i>
      <x v="2"/>
    </i>
    <i t="grand">
      <x/>
    </i>
  </rowItems>
  <colItems count="1">
    <i/>
  </colItems>
  <dataFields count="1">
    <dataField name="Sum of Units Sold" fld="1" baseField="0" baseItem="0"/>
  </dataFields>
  <formats count="2">
    <format dxfId="16">
      <pivotArea collapsedLevelsAreSubtotals="1" fieldPosition="0">
        <references count="1">
          <reference field="0" count="0"/>
        </references>
      </pivotArea>
    </format>
    <format dxfId="15">
      <pivotArea grandRow="1" outline="0" collapsedLevelsAreSubtotals="1" fieldPosition="0"/>
    </format>
  </formats>
  <conditionalFormats count="2">
    <conditionalFormat type="all" priority="4">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 type="all" priority="3">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02E196-9402-4798-B047-305FDD276B3B}" name="MONTH"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48:B6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8"/>
  </dataFields>
  <formats count="1">
    <format dxfId="86">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1"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ka Project.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0658E14-41CB-4C38-A98E-A6520707A725}" sourceName="[Table_1].[Country]">
  <pivotTables>
    <pivotTable tabId="6" name="MONTH"/>
    <pivotTable tabId="3" name="ORDER"/>
    <pivotTable tabId="3" name="REVENUE"/>
    <pivotTable tabId="3" name="UNITSOLD"/>
    <pivotTable tabId="6" name="BUYERTYPE"/>
    <pivotTable tabId="6" name="COUNTRY"/>
    <pivotTable tabId="6" name="DISCOUNTBAND"/>
    <pivotTable tabId="6" name="PRODUCT"/>
  </pivotTables>
  <data>
    <olap pivotCacheId="1640624811">
      <levels count="2">
        <level uniqueName="[Table_1].[Country].[(All)]" sourceCaption="(All)" count="0"/>
        <level uniqueName="[Table_1].[Country].[Country]" sourceCaption="Country" count="5">
          <ranges>
            <range startItem="0">
              <i n="[Table_1].[Country].&amp;[France]" c="France"/>
              <i n="[Table_1].[Country].&amp;[Germany]" c="Germany"/>
              <i n="[Table_1].[Country].&amp;[Greece]" c="Greece"/>
              <i n="[Table_1].[Country].&amp;[Italy]" c="Italy"/>
              <i n="[Table_1].[Country].&amp;[UK]" c="UK"/>
            </range>
          </ranges>
        </level>
      </levels>
      <selections count="1">
        <selection n="[Table_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Type" xr10:uid="{DEAE41D6-8A46-468F-ADB8-CAA0C764C8DC}" sourceName="[Table_1].[Buyer Type]">
  <pivotTables>
    <pivotTable tabId="6" name="MONTH"/>
    <pivotTable tabId="3" name="ORDER"/>
    <pivotTable tabId="3" name="REVENUE"/>
    <pivotTable tabId="3" name="UNITSOLD"/>
    <pivotTable tabId="6" name="BUYERTYPE"/>
    <pivotTable tabId="6" name="COUNTRY"/>
    <pivotTable tabId="6" name="DISCOUNTBAND"/>
    <pivotTable tabId="6" name="PRODUCT"/>
  </pivotTables>
  <data>
    <olap pivotCacheId="1640624811">
      <levels count="2">
        <level uniqueName="[Table_1].[Buyer Type].[(All)]" sourceCaption="(All)" count="0"/>
        <level uniqueName="[Table_1].[Buyer Type].[Buyer Type]" sourceCaption="Buyer Type" count="5">
          <ranges>
            <range startItem="0">
              <i n="[Table_1].[Buyer Type].&amp;[Corporations]" c="Corporations"/>
              <i n="[Table_1].[Buyer Type].&amp;[Institutions]" c="Institutions"/>
              <i n="[Table_1].[Buyer Type].&amp;[MiniMarkets]" c="MiniMarkets"/>
              <i n="[Table_1].[Buyer Type].&amp;[Resellers]" c="Resellers"/>
              <i n="[Table_1].[Buyer Type].&amp;[SuperMarkets]" c="SuperMarkets"/>
            </range>
          </ranges>
        </level>
      </levels>
      <selections count="1">
        <selection n="[Table_1].[Buyer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867A09-77B0-4DBF-9FC2-A5F077F2CA03}" sourceName="[Table_1].[Product]">
  <pivotTables>
    <pivotTable tabId="6" name="MONTH"/>
    <pivotTable tabId="3" name="ORDER"/>
    <pivotTable tabId="3" name="REVENUE"/>
    <pivotTable tabId="3" name="UNITSOLD"/>
    <pivotTable tabId="6" name="BUYERTYPE"/>
    <pivotTable tabId="6" name="COUNTRY"/>
    <pivotTable tabId="6" name="DISCOUNTBAND"/>
    <pivotTable tabId="6" name="PRODUCT"/>
  </pivotTables>
  <data>
    <olap pivotCacheId="1640624811">
      <levels count="2">
        <level uniqueName="[Table_1].[Product].[(All)]" sourceCaption="(All)" count="0"/>
        <level uniqueName="[Table_1].[Product].[Product]" sourceCaption="Product" count="6">
          <ranges>
            <range startItem="0">
              <i n="[Table_1].[Product].&amp;[Camera 1]" c="Camera 1"/>
              <i n="[Table_1].[Product].&amp;[Camera 2]" c="Camera 2"/>
              <i n="[Table_1].[Product].&amp;[Camera 3]" c="Camera 3"/>
              <i n="[Table_1].[Product].&amp;[Camera 4]" c="Camera 4"/>
              <i n="[Table_1].[Product].&amp;[Camera 5]" c="Camera 5"/>
              <i n="[Table_1].[Product].&amp;[Camera 6]" c="Camera 6"/>
            </range>
          </ranges>
        </level>
      </levels>
      <selections count="1">
        <selection n="[Table_1].[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3C395BBF-D68A-4675-B43A-711D1BF699B3}" sourceName="[Table_1].[Discount Band]">
  <pivotTables>
    <pivotTable tabId="6" name="MONTH"/>
    <pivotTable tabId="3" name="ORDER"/>
    <pivotTable tabId="3" name="REVENUE"/>
    <pivotTable tabId="3" name="UNITSOLD"/>
    <pivotTable tabId="6" name="BUYERTYPE"/>
    <pivotTable tabId="6" name="COUNTRY"/>
    <pivotTable tabId="6" name="DISCOUNTBAND"/>
    <pivotTable tabId="6" name="PRODUCT"/>
  </pivotTables>
  <data>
    <olap pivotCacheId="1640624811">
      <levels count="2">
        <level uniqueName="[Table_1].[Discount Band].[(All)]" sourceCaption="(All)" count="0"/>
        <level uniqueName="[Table_1].[Discount Band].[Discount Band]" sourceCaption="Discount Band" count="4">
          <ranges>
            <range startItem="0">
              <i n="[Table_1].[Discount Band].&amp;[High]" c="High"/>
              <i n="[Table_1].[Discount Band].&amp;[Low]" c="Low"/>
              <i n="[Table_1].[Discount Band].&amp;[Medium]" c="Medium"/>
              <i n="[Table_1].[Discount Band].&amp;[None]" c="None"/>
            </range>
          </ranges>
        </level>
      </levels>
      <selections count="1">
        <selection n="[Table_1].[Discount 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C97553B-F110-4D6C-9A85-1688226F72AC}" cache="Slicer_Country" caption="Country" columnCount="2" level="1" style="SlicerStyleLight6" rowHeight="182880"/>
  <slicer name="Buyer Type" xr10:uid="{B85AE7FA-FE59-4BAF-B939-42C4A52884CA}" cache="Slicer_Buyer_Type" caption="Buyer Type" columnCount="2" level="1" style="SlicerStyleLight6" rowHeight="182880"/>
  <slicer name="Product" xr10:uid="{4D169043-241A-4A4C-9F0D-B3089FA9BDC0}" cache="Slicer_Product" caption="Product" columnCount="2" level="1" style="SlicerStyleLight6" rowHeight="182880"/>
  <slicer name="Discount Band" xr10:uid="{595996DB-A771-4B0C-9310-120CB430A19D}" cache="Slicer_Discount_Band" caption="Discount Band" columnCount="2" level="1" style="SlicerStyleLight6"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526">
  <autoFilter ref="A1:M526" xr:uid="{00000000-000C-0000-FFFF-FFFF00000000}"/>
  <tableColumns count="13">
    <tableColumn id="1" xr3:uid="{00000000-0010-0000-0000-000001000000}" name="OrderId"/>
    <tableColumn id="2" xr3:uid="{00000000-0010-0000-0000-000002000000}" name="Date" dataDxfId="82"/>
    <tableColumn id="3" xr3:uid="{00000000-0010-0000-0000-000003000000}" name="Buyer Type"/>
    <tableColumn id="4" xr3:uid="{00000000-0010-0000-0000-000004000000}" name="Country"/>
    <tableColumn id="5" xr3:uid="{00000000-0010-0000-0000-000005000000}" name="Product"/>
    <tableColumn id="6" xr3:uid="{00000000-0010-0000-0000-000006000000}" name="Discount Band"/>
    <tableColumn id="7" xr3:uid="{00000000-0010-0000-0000-000007000000}" name="Units Sold"/>
    <tableColumn id="8" xr3:uid="{00000000-0010-0000-0000-000008000000}" name="Unit Price"/>
    <tableColumn id="9" xr3:uid="{00000000-0010-0000-0000-000009000000}" name="Sale Price"/>
    <tableColumn id="10" xr3:uid="{00000000-0010-0000-0000-00000A000000}" name="Gross Sales"/>
    <tableColumn id="11" xr3:uid="{00000000-0010-0000-0000-00000B000000}" name="Discount Type"/>
    <tableColumn id="12" xr3:uid="{00000000-0010-0000-0000-00000C000000}" name="Net Sales"/>
    <tableColumn id="13" xr3:uid="{00000000-0010-0000-0000-00000D000000}" name="Cost"/>
  </tableColumns>
  <tableStyleInfo name="Eurovision Imaging Lt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139B4-3D07-4F4C-854A-46E74B1DC28F}">
  <dimension ref="A3:C47"/>
  <sheetViews>
    <sheetView tabSelected="1" topLeftCell="A4" workbookViewId="0">
      <selection activeCell="A47" sqref="A47"/>
    </sheetView>
  </sheetViews>
  <sheetFormatPr defaultRowHeight="15" x14ac:dyDescent="0.25"/>
  <cols>
    <col min="1" max="1" width="17.28515625" customWidth="1"/>
    <col min="2" max="2" width="16" bestFit="1" customWidth="1"/>
    <col min="3" max="4" width="14.5703125" bestFit="1" customWidth="1"/>
  </cols>
  <sheetData>
    <row r="3" spans="1:3" x14ac:dyDescent="0.25">
      <c r="A3" t="s">
        <v>33</v>
      </c>
      <c r="B3" t="s">
        <v>34</v>
      </c>
      <c r="C3" t="s">
        <v>35</v>
      </c>
    </row>
    <row r="4" spans="1:3" x14ac:dyDescent="0.25">
      <c r="A4" s="10">
        <v>102899002.55749999</v>
      </c>
      <c r="B4" s="10">
        <v>81673031</v>
      </c>
      <c r="C4" s="10">
        <v>21225971.55749999</v>
      </c>
    </row>
    <row r="5" spans="1:3" x14ac:dyDescent="0.25">
      <c r="A5" s="10"/>
      <c r="B5" s="10"/>
      <c r="C5" s="10"/>
    </row>
    <row r="7" spans="1:3" x14ac:dyDescent="0.25">
      <c r="A7" t="s">
        <v>36</v>
      </c>
    </row>
    <row r="8" spans="1:3" x14ac:dyDescent="0.25">
      <c r="A8">
        <v>861132</v>
      </c>
    </row>
    <row r="10" spans="1:3" x14ac:dyDescent="0.25">
      <c r="A10" s="8" t="s">
        <v>37</v>
      </c>
      <c r="B10" t="s">
        <v>33</v>
      </c>
    </row>
    <row r="11" spans="1:3" x14ac:dyDescent="0.25">
      <c r="A11" s="9" t="s">
        <v>17</v>
      </c>
      <c r="B11" s="10">
        <v>23069674.112050001</v>
      </c>
    </row>
    <row r="12" spans="1:3" x14ac:dyDescent="0.25">
      <c r="A12" s="9" t="s">
        <v>25</v>
      </c>
      <c r="B12" s="10">
        <v>22024721.449500002</v>
      </c>
    </row>
    <row r="13" spans="1:3" x14ac:dyDescent="0.25">
      <c r="A13" s="9" t="s">
        <v>14</v>
      </c>
      <c r="B13" s="10">
        <v>21491135.517750002</v>
      </c>
    </row>
    <row r="14" spans="1:3" x14ac:dyDescent="0.25">
      <c r="A14" s="9" t="s">
        <v>22</v>
      </c>
      <c r="B14" s="10">
        <v>19014491.537</v>
      </c>
    </row>
    <row r="15" spans="1:3" x14ac:dyDescent="0.25">
      <c r="A15" s="9" t="s">
        <v>20</v>
      </c>
      <c r="B15" s="10">
        <v>17298979.941199996</v>
      </c>
    </row>
    <row r="16" spans="1:3" x14ac:dyDescent="0.25">
      <c r="A16" s="9" t="s">
        <v>38</v>
      </c>
      <c r="B16" s="10">
        <v>102899002.55749999</v>
      </c>
    </row>
    <row r="19" spans="1:2" x14ac:dyDescent="0.25">
      <c r="A19" s="8" t="s">
        <v>37</v>
      </c>
      <c r="B19" t="s">
        <v>36</v>
      </c>
    </row>
    <row r="20" spans="1:2" x14ac:dyDescent="0.25">
      <c r="A20" s="9" t="s">
        <v>13</v>
      </c>
      <c r="B20" s="10">
        <v>347242.5</v>
      </c>
    </row>
    <row r="21" spans="1:2" x14ac:dyDescent="0.25">
      <c r="A21" s="9" t="s">
        <v>29</v>
      </c>
      <c r="B21" s="10">
        <v>133191</v>
      </c>
    </row>
    <row r="22" spans="1:2" x14ac:dyDescent="0.25">
      <c r="A22" s="9" t="s">
        <v>24</v>
      </c>
      <c r="B22" s="10">
        <v>132730</v>
      </c>
    </row>
    <row r="23" spans="1:2" x14ac:dyDescent="0.25">
      <c r="A23" s="9" t="s">
        <v>23</v>
      </c>
      <c r="B23" s="10">
        <v>125196.5</v>
      </c>
    </row>
    <row r="24" spans="1:2" x14ac:dyDescent="0.25">
      <c r="A24" s="9" t="s">
        <v>26</v>
      </c>
      <c r="B24" s="10">
        <v>122772</v>
      </c>
    </row>
    <row r="25" spans="1:2" x14ac:dyDescent="0.25">
      <c r="A25" s="9" t="s">
        <v>38</v>
      </c>
      <c r="B25" s="10">
        <v>861132</v>
      </c>
    </row>
    <row r="28" spans="1:2" x14ac:dyDescent="0.25">
      <c r="A28" s="8" t="s">
        <v>37</v>
      </c>
      <c r="B28" t="s">
        <v>35</v>
      </c>
    </row>
    <row r="29" spans="1:2" x14ac:dyDescent="0.25">
      <c r="A29" s="9" t="s">
        <v>32</v>
      </c>
      <c r="B29" s="10">
        <v>6575635.6940999925</v>
      </c>
    </row>
    <row r="30" spans="1:2" x14ac:dyDescent="0.25">
      <c r="A30" s="9" t="s">
        <v>31</v>
      </c>
      <c r="B30" s="10">
        <v>6548020.813349992</v>
      </c>
    </row>
    <row r="31" spans="1:2" x14ac:dyDescent="0.25">
      <c r="A31" s="9" t="s">
        <v>30</v>
      </c>
      <c r="B31" s="10">
        <v>4216518.7742000036</v>
      </c>
    </row>
    <row r="32" spans="1:2" x14ac:dyDescent="0.25">
      <c r="A32" s="9" t="s">
        <v>27</v>
      </c>
      <c r="B32" s="10">
        <v>2595701.4097999996</v>
      </c>
    </row>
    <row r="33" spans="1:2" x14ac:dyDescent="0.25">
      <c r="A33" s="9" t="s">
        <v>15</v>
      </c>
      <c r="B33" s="10">
        <v>748159.91399999987</v>
      </c>
    </row>
    <row r="34" spans="1:2" x14ac:dyDescent="0.25">
      <c r="A34" s="9" t="s">
        <v>18</v>
      </c>
      <c r="B34" s="10">
        <v>541934.95204999996</v>
      </c>
    </row>
    <row r="35" spans="1:2" x14ac:dyDescent="0.25">
      <c r="A35" s="9" t="s">
        <v>38</v>
      </c>
      <c r="B35" s="10">
        <v>21225971.55749999</v>
      </c>
    </row>
    <row r="38" spans="1:2" x14ac:dyDescent="0.25">
      <c r="A38" s="8" t="s">
        <v>37</v>
      </c>
      <c r="B38" t="s">
        <v>33</v>
      </c>
    </row>
    <row r="39" spans="1:2" x14ac:dyDescent="0.25">
      <c r="A39" s="9" t="s">
        <v>16</v>
      </c>
      <c r="B39" s="10">
        <v>38093171.653849997</v>
      </c>
    </row>
    <row r="40" spans="1:2" x14ac:dyDescent="0.25">
      <c r="A40" s="9" t="s">
        <v>21</v>
      </c>
      <c r="B40" s="10">
        <v>35371486.642850012</v>
      </c>
    </row>
    <row r="41" spans="1:2" x14ac:dyDescent="0.25">
      <c r="A41" s="9" t="s">
        <v>19</v>
      </c>
      <c r="B41" s="10">
        <v>18502171.7608</v>
      </c>
    </row>
    <row r="42" spans="1:2" x14ac:dyDescent="0.25">
      <c r="A42" s="9" t="s">
        <v>28</v>
      </c>
      <c r="B42" s="10">
        <v>10932172.5</v>
      </c>
    </row>
    <row r="43" spans="1:2" x14ac:dyDescent="0.25">
      <c r="A43" s="9" t="s">
        <v>38</v>
      </c>
      <c r="B43" s="10">
        <v>102899002.55749999</v>
      </c>
    </row>
    <row r="46" spans="1:2" x14ac:dyDescent="0.25">
      <c r="A46" t="s">
        <v>51</v>
      </c>
    </row>
    <row r="47" spans="1:2" x14ac:dyDescent="0.25">
      <c r="A47" s="11">
        <v>138075</v>
      </c>
    </row>
  </sheetData>
  <conditionalFormatting pivot="1" sqref="B11:B15">
    <cfRule type="top10" dxfId="52" priority="9" bottom="1" rank="1"/>
  </conditionalFormatting>
  <conditionalFormatting pivot="1" sqref="B11:B15">
    <cfRule type="top10" dxfId="51" priority="8" rank="1"/>
  </conditionalFormatting>
  <conditionalFormatting pivot="1" sqref="B11:B15">
    <cfRule type="top10" dxfId="50" priority="7" bottom="1" rank="1"/>
  </conditionalFormatting>
  <conditionalFormatting pivot="1" sqref="B20:B24">
    <cfRule type="top10" dxfId="49" priority="6" rank="1"/>
  </conditionalFormatting>
  <conditionalFormatting pivot="1" sqref="B20:B24">
    <cfRule type="top10" dxfId="48" priority="5" bottom="1" rank="1"/>
  </conditionalFormatting>
  <conditionalFormatting pivot="1" sqref="B29:B34">
    <cfRule type="top10" dxfId="47" priority="4" rank="1"/>
  </conditionalFormatting>
  <conditionalFormatting pivot="1" sqref="B29:B34">
    <cfRule type="top10" dxfId="46" priority="3" bottom="1" rank="1"/>
  </conditionalFormatting>
  <conditionalFormatting pivot="1" sqref="B39:B42">
    <cfRule type="top10" dxfId="45" priority="2" rank="1"/>
  </conditionalFormatting>
  <conditionalFormatting pivot="1" sqref="B39:B42">
    <cfRule type="top10" dxfId="36" priority="1" bottom="1" rank="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7E53-482F-4C33-BC1B-F4328B4C3C96}">
  <dimension ref="A3:B61"/>
  <sheetViews>
    <sheetView workbookViewId="0">
      <selection activeCell="C18" sqref="C18"/>
    </sheetView>
  </sheetViews>
  <sheetFormatPr defaultRowHeight="15" x14ac:dyDescent="0.25"/>
  <cols>
    <col min="1" max="1" width="13.42578125" bestFit="1" customWidth="1"/>
    <col min="2" max="2" width="16.5703125" bestFit="1" customWidth="1"/>
    <col min="3" max="3" width="12" bestFit="1" customWidth="1"/>
    <col min="4" max="4" width="11" bestFit="1" customWidth="1"/>
    <col min="5" max="7" width="12" bestFit="1" customWidth="1"/>
    <col min="8" max="8" width="11" bestFit="1" customWidth="1"/>
    <col min="9" max="14" width="12" bestFit="1" customWidth="1"/>
    <col min="15" max="24" width="16.28515625" bestFit="1" customWidth="1"/>
    <col min="25" max="25" width="21" bestFit="1" customWidth="1"/>
    <col min="26" max="26" width="12" bestFit="1" customWidth="1"/>
    <col min="27" max="890" width="16.28515625" bestFit="1" customWidth="1"/>
    <col min="891" max="891" width="21" bestFit="1" customWidth="1"/>
    <col min="892" max="892" width="12" bestFit="1" customWidth="1"/>
  </cols>
  <sheetData>
    <row r="3" spans="1:2" x14ac:dyDescent="0.25">
      <c r="A3" s="8" t="s">
        <v>37</v>
      </c>
      <c r="B3" t="s">
        <v>33</v>
      </c>
    </row>
    <row r="4" spans="1:2" x14ac:dyDescent="0.25">
      <c r="A4" s="9" t="s">
        <v>17</v>
      </c>
      <c r="B4" s="10">
        <v>23069674.112050001</v>
      </c>
    </row>
    <row r="5" spans="1:2" x14ac:dyDescent="0.25">
      <c r="A5" s="9" t="s">
        <v>25</v>
      </c>
      <c r="B5" s="10">
        <v>22024721.449500002</v>
      </c>
    </row>
    <row r="6" spans="1:2" x14ac:dyDescent="0.25">
      <c r="A6" s="9" t="s">
        <v>14</v>
      </c>
      <c r="B6" s="10">
        <v>21491135.517750002</v>
      </c>
    </row>
    <row r="7" spans="1:2" x14ac:dyDescent="0.25">
      <c r="A7" s="9" t="s">
        <v>22</v>
      </c>
      <c r="B7" s="10">
        <v>19014491.537</v>
      </c>
    </row>
    <row r="8" spans="1:2" x14ac:dyDescent="0.25">
      <c r="A8" s="9" t="s">
        <v>20</v>
      </c>
      <c r="B8" s="10">
        <v>17298979.941199996</v>
      </c>
    </row>
    <row r="9" spans="1:2" x14ac:dyDescent="0.25">
      <c r="A9" s="9" t="s">
        <v>38</v>
      </c>
      <c r="B9" s="10">
        <v>102899002.55749999</v>
      </c>
    </row>
    <row r="12" spans="1:2" x14ac:dyDescent="0.25">
      <c r="A12" s="8" t="s">
        <v>37</v>
      </c>
      <c r="B12" t="s">
        <v>36</v>
      </c>
    </row>
    <row r="13" spans="1:2" x14ac:dyDescent="0.25">
      <c r="A13" s="9" t="s">
        <v>13</v>
      </c>
      <c r="B13" s="10">
        <v>347242.5</v>
      </c>
    </row>
    <row r="14" spans="1:2" x14ac:dyDescent="0.25">
      <c r="A14" s="9" t="s">
        <v>29</v>
      </c>
      <c r="B14" s="10">
        <v>133191</v>
      </c>
    </row>
    <row r="15" spans="1:2" x14ac:dyDescent="0.25">
      <c r="A15" s="9" t="s">
        <v>24</v>
      </c>
      <c r="B15" s="10">
        <v>132730</v>
      </c>
    </row>
    <row r="16" spans="1:2" x14ac:dyDescent="0.25">
      <c r="A16" s="9" t="s">
        <v>23</v>
      </c>
      <c r="B16" s="10">
        <v>125196.5</v>
      </c>
    </row>
    <row r="17" spans="1:2" x14ac:dyDescent="0.25">
      <c r="A17" s="9" t="s">
        <v>26</v>
      </c>
      <c r="B17" s="10">
        <v>122772</v>
      </c>
    </row>
    <row r="18" spans="1:2" x14ac:dyDescent="0.25">
      <c r="A18" s="9" t="s">
        <v>38</v>
      </c>
      <c r="B18" s="10">
        <v>861132</v>
      </c>
    </row>
    <row r="21" spans="1:2" x14ac:dyDescent="0.25">
      <c r="A21" s="8" t="s">
        <v>37</v>
      </c>
      <c r="B21" t="s">
        <v>33</v>
      </c>
    </row>
    <row r="22" spans="1:2" x14ac:dyDescent="0.25">
      <c r="A22" s="9" t="s">
        <v>16</v>
      </c>
      <c r="B22" s="10">
        <v>38093171.653849997</v>
      </c>
    </row>
    <row r="23" spans="1:2" x14ac:dyDescent="0.25">
      <c r="A23" s="9" t="s">
        <v>19</v>
      </c>
      <c r="B23" s="10">
        <v>18502171.7608</v>
      </c>
    </row>
    <row r="24" spans="1:2" x14ac:dyDescent="0.25">
      <c r="A24" s="9" t="s">
        <v>21</v>
      </c>
      <c r="B24" s="10">
        <v>35371486.642850012</v>
      </c>
    </row>
    <row r="25" spans="1:2" x14ac:dyDescent="0.25">
      <c r="A25" s="9" t="s">
        <v>28</v>
      </c>
      <c r="B25" s="10">
        <v>10932172.5</v>
      </c>
    </row>
    <row r="26" spans="1:2" x14ac:dyDescent="0.25">
      <c r="A26" s="9" t="s">
        <v>38</v>
      </c>
      <c r="B26" s="10">
        <v>102899002.55749999</v>
      </c>
    </row>
    <row r="35" spans="1:2" x14ac:dyDescent="0.25">
      <c r="A35" s="8" t="s">
        <v>37</v>
      </c>
      <c r="B35" t="s">
        <v>35</v>
      </c>
    </row>
    <row r="36" spans="1:2" x14ac:dyDescent="0.25">
      <c r="A36" s="9" t="s">
        <v>32</v>
      </c>
      <c r="B36" s="10">
        <v>6575635.6940999925</v>
      </c>
    </row>
    <row r="37" spans="1:2" x14ac:dyDescent="0.25">
      <c r="A37" s="9" t="s">
        <v>31</v>
      </c>
      <c r="B37" s="10">
        <v>6548020.813349992</v>
      </c>
    </row>
    <row r="38" spans="1:2" x14ac:dyDescent="0.25">
      <c r="A38" s="9" t="s">
        <v>30</v>
      </c>
      <c r="B38" s="10">
        <v>4216518.7742000036</v>
      </c>
    </row>
    <row r="39" spans="1:2" x14ac:dyDescent="0.25">
      <c r="A39" s="9" t="s">
        <v>27</v>
      </c>
      <c r="B39" s="10">
        <v>2595701.4097999996</v>
      </c>
    </row>
    <row r="40" spans="1:2" x14ac:dyDescent="0.25">
      <c r="A40" s="9" t="s">
        <v>15</v>
      </c>
      <c r="B40" s="10">
        <v>748159.91399999987</v>
      </c>
    </row>
    <row r="41" spans="1:2" x14ac:dyDescent="0.25">
      <c r="A41" s="9" t="s">
        <v>18</v>
      </c>
      <c r="B41" s="10">
        <v>541934.95204999996</v>
      </c>
    </row>
    <row r="42" spans="1:2" x14ac:dyDescent="0.25">
      <c r="A42" s="9" t="s">
        <v>38</v>
      </c>
      <c r="B42" s="10">
        <v>21225971.55749999</v>
      </c>
    </row>
    <row r="48" spans="1:2" x14ac:dyDescent="0.25">
      <c r="A48" s="8" t="s">
        <v>37</v>
      </c>
      <c r="B48" t="s">
        <v>35</v>
      </c>
    </row>
    <row r="49" spans="1:2" x14ac:dyDescent="0.25">
      <c r="A49" s="9" t="s">
        <v>39</v>
      </c>
      <c r="B49" s="10">
        <v>1937887.2819999978</v>
      </c>
    </row>
    <row r="50" spans="1:2" x14ac:dyDescent="0.25">
      <c r="A50" s="9" t="s">
        <v>40</v>
      </c>
      <c r="B50" s="10">
        <v>2050725.3886500001</v>
      </c>
    </row>
    <row r="51" spans="1:2" x14ac:dyDescent="0.25">
      <c r="A51" s="9" t="s">
        <v>41</v>
      </c>
      <c r="B51" s="10">
        <v>1727187.1596499998</v>
      </c>
    </row>
    <row r="52" spans="1:2" x14ac:dyDescent="0.25">
      <c r="A52" s="9" t="s">
        <v>42</v>
      </c>
      <c r="B52" s="10">
        <v>1819666.9132999983</v>
      </c>
    </row>
    <row r="53" spans="1:2" x14ac:dyDescent="0.25">
      <c r="A53" s="9" t="s">
        <v>43</v>
      </c>
      <c r="B53" s="10">
        <v>1404726.3276000004</v>
      </c>
    </row>
    <row r="54" spans="1:2" x14ac:dyDescent="0.25">
      <c r="A54" s="9" t="s">
        <v>44</v>
      </c>
      <c r="B54" s="10">
        <v>1771146.675449999</v>
      </c>
    </row>
    <row r="55" spans="1:2" x14ac:dyDescent="0.25">
      <c r="A55" s="9" t="s">
        <v>45</v>
      </c>
      <c r="B55" s="10">
        <v>1121593.2302000001</v>
      </c>
    </row>
    <row r="56" spans="1:2" x14ac:dyDescent="0.25">
      <c r="A56" s="9" t="s">
        <v>46</v>
      </c>
      <c r="B56" s="10">
        <v>1784438.9544000002</v>
      </c>
    </row>
    <row r="57" spans="1:2" x14ac:dyDescent="0.25">
      <c r="A57" s="9" t="s">
        <v>47</v>
      </c>
      <c r="B57" s="10">
        <v>1815112.1089999992</v>
      </c>
    </row>
    <row r="58" spans="1:2" x14ac:dyDescent="0.25">
      <c r="A58" s="9" t="s">
        <v>48</v>
      </c>
      <c r="B58" s="10">
        <v>2675924.8008499984</v>
      </c>
    </row>
    <row r="59" spans="1:2" x14ac:dyDescent="0.25">
      <c r="A59" s="9" t="s">
        <v>49</v>
      </c>
      <c r="B59" s="10">
        <v>1698690.2125000004</v>
      </c>
    </row>
    <row r="60" spans="1:2" x14ac:dyDescent="0.25">
      <c r="A60" s="9" t="s">
        <v>50</v>
      </c>
      <c r="B60" s="10">
        <v>1418872.5038999999</v>
      </c>
    </row>
    <row r="61" spans="1:2" x14ac:dyDescent="0.25">
      <c r="A61" s="9" t="s">
        <v>38</v>
      </c>
      <c r="B61" s="10">
        <v>21225971.55749999</v>
      </c>
    </row>
  </sheetData>
  <conditionalFormatting pivot="1" sqref="B4:B8">
    <cfRule type="top10" dxfId="10" priority="6" rank="1"/>
  </conditionalFormatting>
  <conditionalFormatting pivot="1" sqref="B4:B8">
    <cfRule type="top10" dxfId="9" priority="5" bottom="1" rank="1"/>
  </conditionalFormatting>
  <conditionalFormatting pivot="1" sqref="B13:B17">
    <cfRule type="top10" dxfId="8" priority="4" rank="1"/>
  </conditionalFormatting>
  <conditionalFormatting pivot="1" sqref="B13:B17">
    <cfRule type="top10" dxfId="7" priority="3" bottom="1" rank="1"/>
  </conditionalFormatting>
  <conditionalFormatting pivot="1" sqref="B22:B25">
    <cfRule type="top10" dxfId="6" priority="2" rank="1"/>
  </conditionalFormatting>
  <conditionalFormatting pivot="1" sqref="B22:B25">
    <cfRule type="top10" dxfId="0" priority="1" bottom="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A122-8F07-453F-A359-3851EDAC47DA}">
  <dimension ref="A1"/>
  <sheetViews>
    <sheetView showGridLines="0" zoomScaleNormal="100" workbookViewId="0">
      <selection activeCell="C18" sqref="C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M1000"/>
  <sheetViews>
    <sheetView workbookViewId="0">
      <pane ySplit="1" topLeftCell="A2" activePane="bottomLeft" state="frozen"/>
      <selection pane="bottomLeft" activeCell="B1" sqref="B1:B1048576"/>
    </sheetView>
  </sheetViews>
  <sheetFormatPr defaultColWidth="14.42578125" defaultRowHeight="15" customHeight="1" x14ac:dyDescent="0.25"/>
  <cols>
    <col min="1" max="1" width="9.42578125" customWidth="1"/>
    <col min="2" max="2" width="10.7109375" style="7" customWidth="1"/>
    <col min="3" max="3" width="13.42578125" customWidth="1"/>
    <col min="4" max="4" width="10.28515625" customWidth="1"/>
    <col min="5" max="5" width="13.5703125" customWidth="1"/>
    <col min="6" max="6" width="16" customWidth="1"/>
    <col min="7" max="7" width="12.28515625" customWidth="1"/>
    <col min="8" max="8" width="12" customWidth="1"/>
    <col min="9" max="9" width="11.85546875" customWidth="1"/>
    <col min="10" max="10" width="13.28515625" customWidth="1"/>
    <col min="11" max="11" width="15.85546875" customWidth="1"/>
    <col min="12" max="12" width="11.5703125" customWidth="1"/>
    <col min="13" max="13" width="7.140625" customWidth="1"/>
    <col min="14" max="26" width="8.7109375" customWidth="1"/>
  </cols>
  <sheetData>
    <row r="1" spans="1:13" ht="14.25" customHeight="1" x14ac:dyDescent="0.25">
      <c r="A1" s="1" t="s">
        <v>0</v>
      </c>
      <c r="B1" s="5" t="s">
        <v>1</v>
      </c>
      <c r="C1" s="2" t="s">
        <v>2</v>
      </c>
      <c r="D1" s="2" t="s">
        <v>3</v>
      </c>
      <c r="E1" s="2" t="s">
        <v>4</v>
      </c>
      <c r="F1" s="2" t="s">
        <v>5</v>
      </c>
      <c r="G1" s="2" t="s">
        <v>6</v>
      </c>
      <c r="H1" s="2" t="s">
        <v>7</v>
      </c>
      <c r="I1" s="2" t="s">
        <v>8</v>
      </c>
      <c r="J1" s="2" t="s">
        <v>9</v>
      </c>
      <c r="K1" s="2" t="s">
        <v>10</v>
      </c>
      <c r="L1" s="2" t="s">
        <v>11</v>
      </c>
      <c r="M1" s="2" t="s">
        <v>12</v>
      </c>
    </row>
    <row r="2" spans="1:13" ht="14.25" customHeight="1" x14ac:dyDescent="0.25">
      <c r="A2" s="3">
        <v>479</v>
      </c>
      <c r="B2" s="6">
        <v>45114</v>
      </c>
      <c r="C2" s="3" t="s">
        <v>13</v>
      </c>
      <c r="D2" s="3" t="s">
        <v>14</v>
      </c>
      <c r="E2" s="3" t="s">
        <v>15</v>
      </c>
      <c r="F2" s="3" t="s">
        <v>16</v>
      </c>
      <c r="G2" s="3">
        <v>200</v>
      </c>
      <c r="H2" s="3">
        <v>5</v>
      </c>
      <c r="I2" s="3">
        <v>9</v>
      </c>
      <c r="J2" s="3">
        <f t="shared" ref="J2:J256" si="0">G2*I2</f>
        <v>1800</v>
      </c>
      <c r="K2" s="4">
        <v>0.25</v>
      </c>
      <c r="L2" s="3">
        <f t="shared" ref="L2:L256" si="1">J2+(J2*K2)/100</f>
        <v>1804.5</v>
      </c>
      <c r="M2" s="3">
        <f t="shared" ref="M2:M256" si="2">G2*H2</f>
        <v>1000</v>
      </c>
    </row>
    <row r="3" spans="1:13" ht="14.25" customHeight="1" x14ac:dyDescent="0.25">
      <c r="A3" s="3">
        <v>140</v>
      </c>
      <c r="B3" s="6">
        <v>45789</v>
      </c>
      <c r="C3" s="3" t="s">
        <v>13</v>
      </c>
      <c r="D3" s="3" t="s">
        <v>17</v>
      </c>
      <c r="E3" s="3" t="s">
        <v>18</v>
      </c>
      <c r="F3" s="3" t="s">
        <v>19</v>
      </c>
      <c r="G3" s="3">
        <v>274</v>
      </c>
      <c r="H3" s="3">
        <v>3</v>
      </c>
      <c r="I3" s="3">
        <v>8</v>
      </c>
      <c r="J3" s="3">
        <f t="shared" si="0"/>
        <v>2192</v>
      </c>
      <c r="K3" s="4">
        <v>0.01</v>
      </c>
      <c r="L3" s="3">
        <f t="shared" si="1"/>
        <v>2192.2192</v>
      </c>
      <c r="M3" s="3">
        <f t="shared" si="2"/>
        <v>822</v>
      </c>
    </row>
    <row r="4" spans="1:13" ht="14.25" customHeight="1" x14ac:dyDescent="0.25">
      <c r="A4" s="3">
        <v>331</v>
      </c>
      <c r="B4" s="6">
        <v>44806</v>
      </c>
      <c r="C4" s="3" t="s">
        <v>13</v>
      </c>
      <c r="D4" s="3" t="s">
        <v>20</v>
      </c>
      <c r="E4" s="3" t="s">
        <v>18</v>
      </c>
      <c r="F4" s="3" t="s">
        <v>21</v>
      </c>
      <c r="G4" s="3">
        <v>521</v>
      </c>
      <c r="H4" s="3">
        <v>3</v>
      </c>
      <c r="I4" s="3">
        <v>5</v>
      </c>
      <c r="J4" s="3">
        <f t="shared" si="0"/>
        <v>2605</v>
      </c>
      <c r="K4" s="4">
        <v>0.13</v>
      </c>
      <c r="L4" s="3">
        <f t="shared" si="1"/>
        <v>2608.3865000000001</v>
      </c>
      <c r="M4" s="3">
        <f t="shared" si="2"/>
        <v>1563</v>
      </c>
    </row>
    <row r="5" spans="1:13" ht="14.25" customHeight="1" x14ac:dyDescent="0.25">
      <c r="A5" s="3">
        <v>464</v>
      </c>
      <c r="B5" s="6">
        <v>45643</v>
      </c>
      <c r="C5" s="3" t="s">
        <v>13</v>
      </c>
      <c r="D5" s="3" t="s">
        <v>22</v>
      </c>
      <c r="E5" s="3" t="s">
        <v>18</v>
      </c>
      <c r="F5" s="3" t="s">
        <v>16</v>
      </c>
      <c r="G5" s="3">
        <v>280</v>
      </c>
      <c r="H5" s="3">
        <v>3</v>
      </c>
      <c r="I5" s="3">
        <v>10</v>
      </c>
      <c r="J5" s="3">
        <f t="shared" si="0"/>
        <v>2800</v>
      </c>
      <c r="K5" s="4">
        <v>0.21</v>
      </c>
      <c r="L5" s="3">
        <f t="shared" si="1"/>
        <v>2805.88</v>
      </c>
      <c r="M5" s="3">
        <f t="shared" si="2"/>
        <v>840</v>
      </c>
    </row>
    <row r="6" spans="1:13" ht="14.25" customHeight="1" x14ac:dyDescent="0.25">
      <c r="A6" s="3">
        <v>207</v>
      </c>
      <c r="B6" s="6">
        <v>45497</v>
      </c>
      <c r="C6" s="3" t="s">
        <v>23</v>
      </c>
      <c r="D6" s="3" t="s">
        <v>20</v>
      </c>
      <c r="E6" s="3" t="s">
        <v>18</v>
      </c>
      <c r="F6" s="3" t="s">
        <v>21</v>
      </c>
      <c r="G6" s="3">
        <v>562</v>
      </c>
      <c r="H6" s="3">
        <v>3</v>
      </c>
      <c r="I6" s="3">
        <v>5</v>
      </c>
      <c r="J6" s="3">
        <f t="shared" si="0"/>
        <v>2810</v>
      </c>
      <c r="K6" s="4">
        <v>0.12</v>
      </c>
      <c r="L6" s="3">
        <f t="shared" si="1"/>
        <v>2813.3719999999998</v>
      </c>
      <c r="M6" s="3">
        <f t="shared" si="2"/>
        <v>1686</v>
      </c>
    </row>
    <row r="7" spans="1:13" ht="14.25" customHeight="1" x14ac:dyDescent="0.25">
      <c r="A7" s="3">
        <v>266</v>
      </c>
      <c r="B7" s="6">
        <v>45763</v>
      </c>
      <c r="C7" s="3" t="s">
        <v>24</v>
      </c>
      <c r="D7" s="3" t="s">
        <v>25</v>
      </c>
      <c r="E7" s="3" t="s">
        <v>18</v>
      </c>
      <c r="F7" s="3" t="s">
        <v>21</v>
      </c>
      <c r="G7" s="3">
        <v>490</v>
      </c>
      <c r="H7" s="3">
        <v>3</v>
      </c>
      <c r="I7" s="3">
        <v>6</v>
      </c>
      <c r="J7" s="3">
        <f t="shared" si="0"/>
        <v>2940</v>
      </c>
      <c r="K7" s="4">
        <v>0.17</v>
      </c>
      <c r="L7" s="3">
        <f t="shared" si="1"/>
        <v>2944.998</v>
      </c>
      <c r="M7" s="3">
        <f t="shared" si="2"/>
        <v>1470</v>
      </c>
    </row>
    <row r="8" spans="1:13" ht="14.25" customHeight="1" x14ac:dyDescent="0.25">
      <c r="A8" s="3">
        <v>175</v>
      </c>
      <c r="B8" s="6">
        <v>45371</v>
      </c>
      <c r="C8" s="3" t="s">
        <v>13</v>
      </c>
      <c r="D8" s="3" t="s">
        <v>17</v>
      </c>
      <c r="E8" s="3" t="s">
        <v>18</v>
      </c>
      <c r="F8" s="3" t="s">
        <v>21</v>
      </c>
      <c r="G8" s="3">
        <v>570</v>
      </c>
      <c r="H8" s="3">
        <v>3</v>
      </c>
      <c r="I8" s="3">
        <v>6</v>
      </c>
      <c r="J8" s="3">
        <f t="shared" si="0"/>
        <v>3420</v>
      </c>
      <c r="K8" s="4">
        <v>0.17</v>
      </c>
      <c r="L8" s="3">
        <f t="shared" si="1"/>
        <v>3425.8139999999999</v>
      </c>
      <c r="M8" s="3">
        <f t="shared" si="2"/>
        <v>1710</v>
      </c>
    </row>
    <row r="9" spans="1:13" ht="14.25" customHeight="1" x14ac:dyDescent="0.25">
      <c r="A9" s="3">
        <v>112</v>
      </c>
      <c r="B9" s="6">
        <v>45078</v>
      </c>
      <c r="C9" s="3" t="s">
        <v>26</v>
      </c>
      <c r="D9" s="3" t="s">
        <v>22</v>
      </c>
      <c r="E9" s="3" t="s">
        <v>18</v>
      </c>
      <c r="F9" s="3" t="s">
        <v>19</v>
      </c>
      <c r="G9" s="3">
        <v>689</v>
      </c>
      <c r="H9" s="3">
        <v>3</v>
      </c>
      <c r="I9" s="3">
        <v>5</v>
      </c>
      <c r="J9" s="3">
        <f t="shared" si="0"/>
        <v>3445</v>
      </c>
      <c r="K9" s="4">
        <v>0.02</v>
      </c>
      <c r="L9" s="3">
        <f t="shared" si="1"/>
        <v>3445.6889999999999</v>
      </c>
      <c r="M9" s="3">
        <f t="shared" si="2"/>
        <v>2067</v>
      </c>
    </row>
    <row r="10" spans="1:13" ht="14.25" customHeight="1" x14ac:dyDescent="0.25">
      <c r="A10" s="3">
        <v>480</v>
      </c>
      <c r="B10" s="6">
        <v>45795</v>
      </c>
      <c r="C10" s="3" t="s">
        <v>13</v>
      </c>
      <c r="D10" s="3" t="s">
        <v>14</v>
      </c>
      <c r="E10" s="3" t="s">
        <v>15</v>
      </c>
      <c r="F10" s="3" t="s">
        <v>16</v>
      </c>
      <c r="G10" s="3">
        <v>388</v>
      </c>
      <c r="H10" s="3">
        <v>5</v>
      </c>
      <c r="I10" s="3">
        <v>9</v>
      </c>
      <c r="J10" s="3">
        <f t="shared" si="0"/>
        <v>3492</v>
      </c>
      <c r="K10" s="4">
        <v>0.2</v>
      </c>
      <c r="L10" s="3">
        <f t="shared" si="1"/>
        <v>3498.9839999999999</v>
      </c>
      <c r="M10" s="3">
        <f t="shared" si="2"/>
        <v>1940</v>
      </c>
    </row>
    <row r="11" spans="1:13" ht="14.25" customHeight="1" x14ac:dyDescent="0.25">
      <c r="A11" s="3">
        <v>240</v>
      </c>
      <c r="B11" s="6">
        <v>45443</v>
      </c>
      <c r="C11" s="3" t="s">
        <v>26</v>
      </c>
      <c r="D11" s="3" t="s">
        <v>25</v>
      </c>
      <c r="E11" s="3" t="s">
        <v>18</v>
      </c>
      <c r="F11" s="3" t="s">
        <v>21</v>
      </c>
      <c r="G11" s="3">
        <v>448</v>
      </c>
      <c r="H11" s="3">
        <v>3</v>
      </c>
      <c r="I11" s="3">
        <v>8</v>
      </c>
      <c r="J11" s="3">
        <f t="shared" si="0"/>
        <v>3584</v>
      </c>
      <c r="K11" s="4">
        <v>0.14000000000000001</v>
      </c>
      <c r="L11" s="3">
        <f t="shared" si="1"/>
        <v>3589.0176000000001</v>
      </c>
      <c r="M11" s="3">
        <f t="shared" si="2"/>
        <v>1344</v>
      </c>
    </row>
    <row r="12" spans="1:13" ht="14.25" customHeight="1" x14ac:dyDescent="0.25">
      <c r="A12" s="3">
        <v>465</v>
      </c>
      <c r="B12" s="6">
        <v>44944</v>
      </c>
      <c r="C12" s="3" t="s">
        <v>13</v>
      </c>
      <c r="D12" s="3" t="s">
        <v>25</v>
      </c>
      <c r="E12" s="3" t="s">
        <v>15</v>
      </c>
      <c r="F12" s="3" t="s">
        <v>16</v>
      </c>
      <c r="G12" s="3">
        <v>293</v>
      </c>
      <c r="H12" s="3">
        <v>5</v>
      </c>
      <c r="I12" s="3">
        <v>13</v>
      </c>
      <c r="J12" s="3">
        <f t="shared" si="0"/>
        <v>3809</v>
      </c>
      <c r="K12" s="4">
        <v>0.2</v>
      </c>
      <c r="L12" s="3">
        <f t="shared" si="1"/>
        <v>3816.6179999999999</v>
      </c>
      <c r="M12" s="3">
        <f t="shared" si="2"/>
        <v>1465</v>
      </c>
    </row>
    <row r="13" spans="1:13" ht="14.25" customHeight="1" x14ac:dyDescent="0.25">
      <c r="A13" s="3">
        <v>377</v>
      </c>
      <c r="B13" s="6">
        <v>44522</v>
      </c>
      <c r="C13" s="3" t="s">
        <v>13</v>
      </c>
      <c r="D13" s="3" t="s">
        <v>22</v>
      </c>
      <c r="E13" s="3" t="s">
        <v>18</v>
      </c>
      <c r="F13" s="3" t="s">
        <v>16</v>
      </c>
      <c r="G13" s="3">
        <v>792</v>
      </c>
      <c r="H13" s="3">
        <v>3</v>
      </c>
      <c r="I13" s="3">
        <v>5</v>
      </c>
      <c r="J13" s="3">
        <f t="shared" si="0"/>
        <v>3960</v>
      </c>
      <c r="K13" s="4">
        <v>0.21</v>
      </c>
      <c r="L13" s="3">
        <f t="shared" si="1"/>
        <v>3968.3159999999998</v>
      </c>
      <c r="M13" s="3">
        <f t="shared" si="2"/>
        <v>2376</v>
      </c>
    </row>
    <row r="14" spans="1:13" ht="14.25" customHeight="1" x14ac:dyDescent="0.25">
      <c r="A14" s="3">
        <v>347</v>
      </c>
      <c r="B14" s="6">
        <v>44387</v>
      </c>
      <c r="C14" s="3" t="s">
        <v>13</v>
      </c>
      <c r="D14" s="3" t="s">
        <v>22</v>
      </c>
      <c r="E14" s="3" t="s">
        <v>27</v>
      </c>
      <c r="F14" s="3" t="s">
        <v>16</v>
      </c>
      <c r="G14" s="3">
        <v>241</v>
      </c>
      <c r="H14" s="3">
        <v>10</v>
      </c>
      <c r="I14" s="3">
        <v>18</v>
      </c>
      <c r="J14" s="3">
        <f t="shared" si="0"/>
        <v>4338</v>
      </c>
      <c r="K14" s="4">
        <v>0.25</v>
      </c>
      <c r="L14" s="3">
        <f t="shared" si="1"/>
        <v>4348.8450000000003</v>
      </c>
      <c r="M14" s="3">
        <f t="shared" si="2"/>
        <v>2410</v>
      </c>
    </row>
    <row r="15" spans="1:13" ht="14.25" customHeight="1" x14ac:dyDescent="0.25">
      <c r="A15" s="3">
        <v>151</v>
      </c>
      <c r="B15" s="6">
        <v>44653</v>
      </c>
      <c r="C15" s="3" t="s">
        <v>24</v>
      </c>
      <c r="D15" s="3" t="s">
        <v>14</v>
      </c>
      <c r="E15" s="3" t="s">
        <v>27</v>
      </c>
      <c r="F15" s="3" t="s">
        <v>19</v>
      </c>
      <c r="G15" s="3">
        <v>218</v>
      </c>
      <c r="H15" s="3">
        <v>10</v>
      </c>
      <c r="I15" s="3">
        <v>20</v>
      </c>
      <c r="J15" s="3">
        <f t="shared" si="0"/>
        <v>4360</v>
      </c>
      <c r="K15" s="4">
        <v>0.01</v>
      </c>
      <c r="L15" s="3">
        <f t="shared" si="1"/>
        <v>4360.4359999999997</v>
      </c>
      <c r="M15" s="3">
        <f t="shared" si="2"/>
        <v>2180</v>
      </c>
    </row>
    <row r="16" spans="1:13" ht="14.25" customHeight="1" x14ac:dyDescent="0.25">
      <c r="A16" s="3">
        <v>228</v>
      </c>
      <c r="B16" s="6">
        <v>44369</v>
      </c>
      <c r="C16" s="3" t="s">
        <v>23</v>
      </c>
      <c r="D16" s="3" t="s">
        <v>20</v>
      </c>
      <c r="E16" s="3" t="s">
        <v>18</v>
      </c>
      <c r="F16" s="3" t="s">
        <v>21</v>
      </c>
      <c r="G16" s="3">
        <v>727</v>
      </c>
      <c r="H16" s="3">
        <v>3</v>
      </c>
      <c r="I16" s="3">
        <v>6</v>
      </c>
      <c r="J16" s="3">
        <f t="shared" si="0"/>
        <v>4362</v>
      </c>
      <c r="K16" s="4">
        <v>0.13</v>
      </c>
      <c r="L16" s="3">
        <f t="shared" si="1"/>
        <v>4367.6706000000004</v>
      </c>
      <c r="M16" s="3">
        <f t="shared" si="2"/>
        <v>2181</v>
      </c>
    </row>
    <row r="17" spans="1:13" ht="14.25" customHeight="1" x14ac:dyDescent="0.25">
      <c r="A17" s="3">
        <v>502</v>
      </c>
      <c r="B17" s="6">
        <v>44749</v>
      </c>
      <c r="C17" s="3" t="s">
        <v>26</v>
      </c>
      <c r="D17" s="3" t="s">
        <v>20</v>
      </c>
      <c r="E17" s="3" t="s">
        <v>15</v>
      </c>
      <c r="F17" s="3" t="s">
        <v>16</v>
      </c>
      <c r="G17" s="3">
        <v>546</v>
      </c>
      <c r="H17" s="3">
        <v>5</v>
      </c>
      <c r="I17" s="3">
        <v>8</v>
      </c>
      <c r="J17" s="3">
        <f t="shared" si="0"/>
        <v>4368</v>
      </c>
      <c r="K17" s="4">
        <v>0.22</v>
      </c>
      <c r="L17" s="3">
        <f t="shared" si="1"/>
        <v>4377.6095999999998</v>
      </c>
      <c r="M17" s="3">
        <f t="shared" si="2"/>
        <v>2730</v>
      </c>
    </row>
    <row r="18" spans="1:13" ht="14.25" customHeight="1" x14ac:dyDescent="0.25">
      <c r="A18" s="3">
        <v>261</v>
      </c>
      <c r="B18" s="6">
        <v>44842</v>
      </c>
      <c r="C18" s="3" t="s">
        <v>13</v>
      </c>
      <c r="D18" s="3" t="s">
        <v>14</v>
      </c>
      <c r="E18" s="3" t="s">
        <v>15</v>
      </c>
      <c r="F18" s="3" t="s">
        <v>21</v>
      </c>
      <c r="G18" s="3">
        <v>488</v>
      </c>
      <c r="H18" s="3">
        <v>5</v>
      </c>
      <c r="I18" s="3">
        <v>9</v>
      </c>
      <c r="J18" s="3">
        <f t="shared" si="0"/>
        <v>4392</v>
      </c>
      <c r="K18" s="4">
        <v>0.19</v>
      </c>
      <c r="L18" s="3">
        <f t="shared" si="1"/>
        <v>4400.3447999999999</v>
      </c>
      <c r="M18" s="3">
        <f t="shared" si="2"/>
        <v>2440</v>
      </c>
    </row>
    <row r="19" spans="1:13" ht="14.25" customHeight="1" x14ac:dyDescent="0.25">
      <c r="A19" s="3">
        <v>4</v>
      </c>
      <c r="B19" s="6">
        <v>44652</v>
      </c>
      <c r="C19" s="3" t="s">
        <v>24</v>
      </c>
      <c r="D19" s="3" t="s">
        <v>22</v>
      </c>
      <c r="E19" s="3" t="s">
        <v>18</v>
      </c>
      <c r="F19" s="3" t="s">
        <v>28</v>
      </c>
      <c r="G19" s="3">
        <v>888</v>
      </c>
      <c r="H19" s="3">
        <v>3</v>
      </c>
      <c r="I19" s="3">
        <v>5</v>
      </c>
      <c r="J19" s="3">
        <f t="shared" si="0"/>
        <v>4440</v>
      </c>
      <c r="K19" s="4">
        <v>0</v>
      </c>
      <c r="L19" s="3">
        <f t="shared" si="1"/>
        <v>4440</v>
      </c>
      <c r="M19" s="3">
        <f t="shared" si="2"/>
        <v>2664</v>
      </c>
    </row>
    <row r="20" spans="1:13" ht="14.25" customHeight="1" x14ac:dyDescent="0.25">
      <c r="A20" s="3">
        <v>80</v>
      </c>
      <c r="B20" s="6">
        <v>45883</v>
      </c>
      <c r="C20" s="3" t="s">
        <v>29</v>
      </c>
      <c r="D20" s="3" t="s">
        <v>14</v>
      </c>
      <c r="E20" s="3" t="s">
        <v>18</v>
      </c>
      <c r="F20" s="3" t="s">
        <v>19</v>
      </c>
      <c r="G20" s="3">
        <v>742.5</v>
      </c>
      <c r="H20" s="3">
        <v>3</v>
      </c>
      <c r="I20" s="3">
        <v>6</v>
      </c>
      <c r="J20" s="3">
        <f t="shared" si="0"/>
        <v>4455</v>
      </c>
      <c r="K20" s="4">
        <v>0.04</v>
      </c>
      <c r="L20" s="3">
        <f t="shared" si="1"/>
        <v>4456.7820000000002</v>
      </c>
      <c r="M20" s="3">
        <f t="shared" si="2"/>
        <v>2227.5</v>
      </c>
    </row>
    <row r="21" spans="1:13" ht="14.25" customHeight="1" x14ac:dyDescent="0.25">
      <c r="A21" s="3">
        <v>466</v>
      </c>
      <c r="B21" s="6">
        <v>45839</v>
      </c>
      <c r="C21" s="3" t="s">
        <v>24</v>
      </c>
      <c r="D21" s="3" t="s">
        <v>22</v>
      </c>
      <c r="E21" s="3" t="s">
        <v>27</v>
      </c>
      <c r="F21" s="3" t="s">
        <v>16</v>
      </c>
      <c r="G21" s="3">
        <v>278</v>
      </c>
      <c r="H21" s="3">
        <v>10</v>
      </c>
      <c r="I21" s="3">
        <v>17</v>
      </c>
      <c r="J21" s="3">
        <f t="shared" si="0"/>
        <v>4726</v>
      </c>
      <c r="K21" s="4">
        <v>0.23</v>
      </c>
      <c r="L21" s="3">
        <f t="shared" si="1"/>
        <v>4736.8698000000004</v>
      </c>
      <c r="M21" s="3">
        <f t="shared" si="2"/>
        <v>2780</v>
      </c>
    </row>
    <row r="22" spans="1:13" ht="14.25" customHeight="1" x14ac:dyDescent="0.25">
      <c r="A22" s="3">
        <v>472</v>
      </c>
      <c r="B22" s="6">
        <v>45364</v>
      </c>
      <c r="C22" s="3" t="s">
        <v>26</v>
      </c>
      <c r="D22" s="3" t="s">
        <v>20</v>
      </c>
      <c r="E22" s="3" t="s">
        <v>18</v>
      </c>
      <c r="F22" s="3" t="s">
        <v>16</v>
      </c>
      <c r="G22" s="3">
        <v>801</v>
      </c>
      <c r="H22" s="3">
        <v>3</v>
      </c>
      <c r="I22" s="3">
        <v>6</v>
      </c>
      <c r="J22" s="3">
        <f t="shared" si="0"/>
        <v>4806</v>
      </c>
      <c r="K22" s="4">
        <v>0.21</v>
      </c>
      <c r="L22" s="3">
        <f t="shared" si="1"/>
        <v>4816.0925999999999</v>
      </c>
      <c r="M22" s="3">
        <f t="shared" si="2"/>
        <v>2403</v>
      </c>
    </row>
    <row r="23" spans="1:13" ht="14.25" customHeight="1" x14ac:dyDescent="0.25">
      <c r="A23" s="3">
        <v>116</v>
      </c>
      <c r="B23" s="6">
        <v>44543</v>
      </c>
      <c r="C23" s="3" t="s">
        <v>13</v>
      </c>
      <c r="D23" s="3" t="s">
        <v>25</v>
      </c>
      <c r="E23" s="3" t="s">
        <v>15</v>
      </c>
      <c r="F23" s="3" t="s">
        <v>19</v>
      </c>
      <c r="G23" s="3">
        <v>544</v>
      </c>
      <c r="H23" s="3">
        <v>5</v>
      </c>
      <c r="I23" s="3">
        <v>9</v>
      </c>
      <c r="J23" s="3">
        <f t="shared" si="0"/>
        <v>4896</v>
      </c>
      <c r="K23" s="4">
        <v>0.02</v>
      </c>
      <c r="L23" s="3">
        <f t="shared" si="1"/>
        <v>4896.9791999999998</v>
      </c>
      <c r="M23" s="3">
        <f t="shared" si="2"/>
        <v>2720</v>
      </c>
    </row>
    <row r="24" spans="1:13" ht="14.25" customHeight="1" x14ac:dyDescent="0.25">
      <c r="A24" s="3">
        <v>511</v>
      </c>
      <c r="B24" s="6">
        <v>44614</v>
      </c>
      <c r="C24" s="3" t="s">
        <v>13</v>
      </c>
      <c r="D24" s="3" t="s">
        <v>25</v>
      </c>
      <c r="E24" s="3" t="s">
        <v>27</v>
      </c>
      <c r="F24" s="3" t="s">
        <v>16</v>
      </c>
      <c r="G24" s="3">
        <v>293</v>
      </c>
      <c r="H24" s="3">
        <v>10</v>
      </c>
      <c r="I24" s="3">
        <v>17</v>
      </c>
      <c r="J24" s="3">
        <f t="shared" si="0"/>
        <v>4981</v>
      </c>
      <c r="K24" s="4">
        <v>0.2</v>
      </c>
      <c r="L24" s="3">
        <f t="shared" si="1"/>
        <v>4990.9620000000004</v>
      </c>
      <c r="M24" s="3">
        <f t="shared" si="2"/>
        <v>2930</v>
      </c>
    </row>
    <row r="25" spans="1:13" ht="14.25" customHeight="1" x14ac:dyDescent="0.25">
      <c r="A25" s="3">
        <v>16</v>
      </c>
      <c r="B25" s="6">
        <v>45891</v>
      </c>
      <c r="C25" s="3" t="s">
        <v>13</v>
      </c>
      <c r="D25" s="3" t="s">
        <v>14</v>
      </c>
      <c r="E25" s="3" t="s">
        <v>27</v>
      </c>
      <c r="F25" s="3" t="s">
        <v>28</v>
      </c>
      <c r="G25" s="3">
        <v>292</v>
      </c>
      <c r="H25" s="3">
        <v>10</v>
      </c>
      <c r="I25" s="3">
        <v>18</v>
      </c>
      <c r="J25" s="3">
        <f t="shared" si="0"/>
        <v>5256</v>
      </c>
      <c r="K25" s="4">
        <v>0</v>
      </c>
      <c r="L25" s="3">
        <f t="shared" si="1"/>
        <v>5256</v>
      </c>
      <c r="M25" s="3">
        <f t="shared" si="2"/>
        <v>2920</v>
      </c>
    </row>
    <row r="26" spans="1:13" ht="14.25" customHeight="1" x14ac:dyDescent="0.25">
      <c r="A26" s="3">
        <v>401</v>
      </c>
      <c r="B26" s="6">
        <v>44515</v>
      </c>
      <c r="C26" s="3" t="s">
        <v>24</v>
      </c>
      <c r="D26" s="3" t="s">
        <v>17</v>
      </c>
      <c r="E26" s="3" t="s">
        <v>15</v>
      </c>
      <c r="F26" s="3" t="s">
        <v>16</v>
      </c>
      <c r="G26" s="3">
        <v>677</v>
      </c>
      <c r="H26" s="3">
        <v>5</v>
      </c>
      <c r="I26" s="3">
        <v>8</v>
      </c>
      <c r="J26" s="3">
        <f t="shared" si="0"/>
        <v>5416</v>
      </c>
      <c r="K26" s="4">
        <v>0.24</v>
      </c>
      <c r="L26" s="3">
        <f t="shared" si="1"/>
        <v>5428.9984000000004</v>
      </c>
      <c r="M26" s="3">
        <f t="shared" si="2"/>
        <v>3385</v>
      </c>
    </row>
    <row r="27" spans="1:13" ht="14.25" customHeight="1" x14ac:dyDescent="0.25">
      <c r="A27" s="3">
        <v>263</v>
      </c>
      <c r="B27" s="6">
        <v>44744</v>
      </c>
      <c r="C27" s="3" t="s">
        <v>13</v>
      </c>
      <c r="D27" s="3" t="s">
        <v>14</v>
      </c>
      <c r="E27" s="3" t="s">
        <v>27</v>
      </c>
      <c r="F27" s="3" t="s">
        <v>21</v>
      </c>
      <c r="G27" s="3">
        <v>257</v>
      </c>
      <c r="H27" s="3">
        <v>10</v>
      </c>
      <c r="I27" s="3">
        <v>22</v>
      </c>
      <c r="J27" s="3">
        <f t="shared" si="0"/>
        <v>5654</v>
      </c>
      <c r="K27" s="4">
        <v>0.19</v>
      </c>
      <c r="L27" s="3">
        <f t="shared" si="1"/>
        <v>5664.7425999999996</v>
      </c>
      <c r="M27" s="3">
        <f t="shared" si="2"/>
        <v>2570</v>
      </c>
    </row>
    <row r="28" spans="1:13" ht="14.25" customHeight="1" x14ac:dyDescent="0.25">
      <c r="A28" s="3">
        <v>272</v>
      </c>
      <c r="B28" s="6">
        <v>44349</v>
      </c>
      <c r="C28" s="3" t="s">
        <v>24</v>
      </c>
      <c r="D28" s="3" t="s">
        <v>22</v>
      </c>
      <c r="E28" s="3" t="s">
        <v>15</v>
      </c>
      <c r="F28" s="3" t="s">
        <v>21</v>
      </c>
      <c r="G28" s="3">
        <v>711</v>
      </c>
      <c r="H28" s="3">
        <v>5</v>
      </c>
      <c r="I28" s="3">
        <v>8</v>
      </c>
      <c r="J28" s="3">
        <f t="shared" si="0"/>
        <v>5688</v>
      </c>
      <c r="K28" s="4">
        <v>0.15</v>
      </c>
      <c r="L28" s="3">
        <f t="shared" si="1"/>
        <v>5696.5320000000002</v>
      </c>
      <c r="M28" s="3">
        <f t="shared" si="2"/>
        <v>3555</v>
      </c>
    </row>
    <row r="29" spans="1:13" ht="14.25" customHeight="1" x14ac:dyDescent="0.25">
      <c r="A29" s="3">
        <v>449</v>
      </c>
      <c r="B29" s="6">
        <v>45692</v>
      </c>
      <c r="C29" s="3" t="s">
        <v>13</v>
      </c>
      <c r="D29" s="3" t="s">
        <v>22</v>
      </c>
      <c r="E29" s="3" t="s">
        <v>27</v>
      </c>
      <c r="F29" s="3" t="s">
        <v>16</v>
      </c>
      <c r="G29" s="3">
        <v>357</v>
      </c>
      <c r="H29" s="3">
        <v>10</v>
      </c>
      <c r="I29" s="3">
        <v>16</v>
      </c>
      <c r="J29" s="3">
        <f t="shared" si="0"/>
        <v>5712</v>
      </c>
      <c r="K29" s="4">
        <v>0.22</v>
      </c>
      <c r="L29" s="3">
        <f t="shared" si="1"/>
        <v>5724.5663999999997</v>
      </c>
      <c r="M29" s="3">
        <f t="shared" si="2"/>
        <v>3570</v>
      </c>
    </row>
    <row r="30" spans="1:13" ht="14.25" customHeight="1" x14ac:dyDescent="0.25">
      <c r="A30" s="3">
        <v>329</v>
      </c>
      <c r="B30" s="6">
        <v>45977</v>
      </c>
      <c r="C30" s="3" t="s">
        <v>13</v>
      </c>
      <c r="D30" s="3" t="s">
        <v>14</v>
      </c>
      <c r="E30" s="3" t="s">
        <v>18</v>
      </c>
      <c r="F30" s="3" t="s">
        <v>21</v>
      </c>
      <c r="G30" s="3">
        <v>819</v>
      </c>
      <c r="H30" s="3">
        <v>3</v>
      </c>
      <c r="I30" s="3">
        <v>7</v>
      </c>
      <c r="J30" s="3">
        <f t="shared" si="0"/>
        <v>5733</v>
      </c>
      <c r="K30" s="4">
        <v>0.19</v>
      </c>
      <c r="L30" s="3">
        <f t="shared" si="1"/>
        <v>5743.8927000000003</v>
      </c>
      <c r="M30" s="3">
        <f t="shared" si="2"/>
        <v>2457</v>
      </c>
    </row>
    <row r="31" spans="1:13" ht="14.25" customHeight="1" x14ac:dyDescent="0.25">
      <c r="A31" s="3">
        <v>328</v>
      </c>
      <c r="B31" s="6">
        <v>45947</v>
      </c>
      <c r="C31" s="3" t="s">
        <v>13</v>
      </c>
      <c r="D31" s="3" t="s">
        <v>22</v>
      </c>
      <c r="E31" s="3" t="s">
        <v>18</v>
      </c>
      <c r="F31" s="3" t="s">
        <v>21</v>
      </c>
      <c r="G31" s="3">
        <v>663</v>
      </c>
      <c r="H31" s="3">
        <v>3</v>
      </c>
      <c r="I31" s="3">
        <v>9</v>
      </c>
      <c r="J31" s="3">
        <f t="shared" si="0"/>
        <v>5967</v>
      </c>
      <c r="K31" s="4">
        <v>0.13</v>
      </c>
      <c r="L31" s="3">
        <f t="shared" si="1"/>
        <v>5974.7570999999998</v>
      </c>
      <c r="M31" s="3">
        <f t="shared" si="2"/>
        <v>1989</v>
      </c>
    </row>
    <row r="32" spans="1:13" ht="14.25" customHeight="1" x14ac:dyDescent="0.25">
      <c r="A32" s="3">
        <v>482</v>
      </c>
      <c r="B32" s="6">
        <v>45975</v>
      </c>
      <c r="C32" s="3" t="s">
        <v>13</v>
      </c>
      <c r="D32" s="3" t="s">
        <v>20</v>
      </c>
      <c r="E32" s="3" t="s">
        <v>27</v>
      </c>
      <c r="F32" s="3" t="s">
        <v>16</v>
      </c>
      <c r="G32" s="3">
        <v>260</v>
      </c>
      <c r="H32" s="3">
        <v>10</v>
      </c>
      <c r="I32" s="3">
        <v>23</v>
      </c>
      <c r="J32" s="3">
        <f t="shared" si="0"/>
        <v>5980</v>
      </c>
      <c r="K32" s="4">
        <v>0.21</v>
      </c>
      <c r="L32" s="3">
        <f t="shared" si="1"/>
        <v>5992.558</v>
      </c>
      <c r="M32" s="3">
        <f t="shared" si="2"/>
        <v>2600</v>
      </c>
    </row>
    <row r="33" spans="1:13" ht="14.25" customHeight="1" x14ac:dyDescent="0.25">
      <c r="A33" s="3">
        <v>474</v>
      </c>
      <c r="B33" s="6">
        <v>44880</v>
      </c>
      <c r="C33" s="3" t="s">
        <v>26</v>
      </c>
      <c r="D33" s="3" t="s">
        <v>17</v>
      </c>
      <c r="E33" s="3" t="s">
        <v>18</v>
      </c>
      <c r="F33" s="3" t="s">
        <v>16</v>
      </c>
      <c r="G33" s="3">
        <v>1010</v>
      </c>
      <c r="H33" s="3">
        <v>3</v>
      </c>
      <c r="I33" s="3">
        <v>6</v>
      </c>
      <c r="J33" s="3">
        <f t="shared" si="0"/>
        <v>6060</v>
      </c>
      <c r="K33" s="4">
        <v>0.21</v>
      </c>
      <c r="L33" s="3">
        <f t="shared" si="1"/>
        <v>6072.7259999999997</v>
      </c>
      <c r="M33" s="3">
        <f t="shared" si="2"/>
        <v>3030</v>
      </c>
    </row>
    <row r="34" spans="1:13" ht="14.25" customHeight="1" x14ac:dyDescent="0.25">
      <c r="A34" s="3">
        <v>398</v>
      </c>
      <c r="B34" s="6">
        <v>45978</v>
      </c>
      <c r="C34" s="3" t="s">
        <v>13</v>
      </c>
      <c r="D34" s="3" t="s">
        <v>20</v>
      </c>
      <c r="E34" s="3" t="s">
        <v>18</v>
      </c>
      <c r="F34" s="3" t="s">
        <v>16</v>
      </c>
      <c r="G34" s="3">
        <v>886</v>
      </c>
      <c r="H34" s="3">
        <v>3</v>
      </c>
      <c r="I34" s="3">
        <v>7</v>
      </c>
      <c r="J34" s="3">
        <f t="shared" si="0"/>
        <v>6202</v>
      </c>
      <c r="K34" s="4">
        <v>0.25</v>
      </c>
      <c r="L34" s="3">
        <f t="shared" si="1"/>
        <v>6217.5050000000001</v>
      </c>
      <c r="M34" s="3">
        <f t="shared" si="2"/>
        <v>2658</v>
      </c>
    </row>
    <row r="35" spans="1:13" ht="14.25" customHeight="1" x14ac:dyDescent="0.25">
      <c r="A35" s="3">
        <v>154</v>
      </c>
      <c r="B35" s="6">
        <v>44417</v>
      </c>
      <c r="C35" s="3" t="s">
        <v>13</v>
      </c>
      <c r="D35" s="3" t="s">
        <v>17</v>
      </c>
      <c r="E35" s="3" t="s">
        <v>27</v>
      </c>
      <c r="F35" s="3" t="s">
        <v>19</v>
      </c>
      <c r="G35" s="3">
        <v>274</v>
      </c>
      <c r="H35" s="3">
        <v>10</v>
      </c>
      <c r="I35" s="3">
        <v>23</v>
      </c>
      <c r="J35" s="3">
        <f t="shared" si="0"/>
        <v>6302</v>
      </c>
      <c r="K35" s="4">
        <v>0.02</v>
      </c>
      <c r="L35" s="3">
        <f t="shared" si="1"/>
        <v>6303.2604000000001</v>
      </c>
      <c r="M35" s="3">
        <f t="shared" si="2"/>
        <v>2740</v>
      </c>
    </row>
    <row r="36" spans="1:13" ht="14.25" customHeight="1" x14ac:dyDescent="0.25">
      <c r="A36" s="3">
        <v>205</v>
      </c>
      <c r="B36" s="6">
        <v>44518</v>
      </c>
      <c r="C36" s="3" t="s">
        <v>13</v>
      </c>
      <c r="D36" s="3" t="s">
        <v>17</v>
      </c>
      <c r="E36" s="3" t="s">
        <v>18</v>
      </c>
      <c r="F36" s="3" t="s">
        <v>21</v>
      </c>
      <c r="G36" s="3">
        <v>1117.5</v>
      </c>
      <c r="H36" s="3">
        <v>3</v>
      </c>
      <c r="I36" s="3">
        <v>6</v>
      </c>
      <c r="J36" s="3">
        <f t="shared" si="0"/>
        <v>6705</v>
      </c>
      <c r="K36" s="4">
        <v>0.19</v>
      </c>
      <c r="L36" s="3">
        <f t="shared" si="1"/>
        <v>6717.7394999999997</v>
      </c>
      <c r="M36" s="3">
        <f t="shared" si="2"/>
        <v>3352.5</v>
      </c>
    </row>
    <row r="37" spans="1:13" ht="14.25" customHeight="1" x14ac:dyDescent="0.25">
      <c r="A37" s="3">
        <v>245</v>
      </c>
      <c r="B37" s="6">
        <v>44818</v>
      </c>
      <c r="C37" s="3" t="s">
        <v>26</v>
      </c>
      <c r="D37" s="3" t="s">
        <v>25</v>
      </c>
      <c r="E37" s="3" t="s">
        <v>27</v>
      </c>
      <c r="F37" s="3" t="s">
        <v>21</v>
      </c>
      <c r="G37" s="3">
        <v>448</v>
      </c>
      <c r="H37" s="3">
        <v>10</v>
      </c>
      <c r="I37" s="3">
        <v>16</v>
      </c>
      <c r="J37" s="3">
        <f t="shared" si="0"/>
        <v>7168</v>
      </c>
      <c r="K37" s="4">
        <v>0.13</v>
      </c>
      <c r="L37" s="3">
        <f t="shared" si="1"/>
        <v>7177.3184000000001</v>
      </c>
      <c r="M37" s="3">
        <f t="shared" si="2"/>
        <v>4480</v>
      </c>
    </row>
    <row r="38" spans="1:13" ht="14.25" customHeight="1" x14ac:dyDescent="0.25">
      <c r="A38" s="3">
        <v>134</v>
      </c>
      <c r="B38" s="6">
        <v>45914</v>
      </c>
      <c r="C38" s="3" t="s">
        <v>13</v>
      </c>
      <c r="D38" s="3" t="s">
        <v>14</v>
      </c>
      <c r="E38" s="3" t="s">
        <v>18</v>
      </c>
      <c r="F38" s="3" t="s">
        <v>19</v>
      </c>
      <c r="G38" s="3">
        <v>831</v>
      </c>
      <c r="H38" s="3">
        <v>3</v>
      </c>
      <c r="I38" s="3">
        <v>9</v>
      </c>
      <c r="J38" s="3">
        <f t="shared" si="0"/>
        <v>7479</v>
      </c>
      <c r="K38" s="4">
        <v>0.08</v>
      </c>
      <c r="L38" s="3">
        <f t="shared" si="1"/>
        <v>7484.9831999999997</v>
      </c>
      <c r="M38" s="3">
        <f t="shared" si="2"/>
        <v>2493</v>
      </c>
    </row>
    <row r="39" spans="1:13" ht="14.25" customHeight="1" x14ac:dyDescent="0.25">
      <c r="A39" s="3">
        <v>334</v>
      </c>
      <c r="B39" s="6">
        <v>44754</v>
      </c>
      <c r="C39" s="3" t="s">
        <v>13</v>
      </c>
      <c r="D39" s="3" t="s">
        <v>22</v>
      </c>
      <c r="E39" s="3" t="s">
        <v>27</v>
      </c>
      <c r="F39" s="3" t="s">
        <v>21</v>
      </c>
      <c r="G39" s="3">
        <v>360</v>
      </c>
      <c r="H39" s="3">
        <v>10</v>
      </c>
      <c r="I39" s="3">
        <v>21</v>
      </c>
      <c r="J39" s="3">
        <f t="shared" si="0"/>
        <v>7560</v>
      </c>
      <c r="K39" s="4">
        <v>0.11</v>
      </c>
      <c r="L39" s="3">
        <f t="shared" si="1"/>
        <v>7568.3159999999998</v>
      </c>
      <c r="M39" s="3">
        <f t="shared" si="2"/>
        <v>3600</v>
      </c>
    </row>
    <row r="40" spans="1:13" ht="14.25" customHeight="1" x14ac:dyDescent="0.25">
      <c r="A40" s="3">
        <v>380</v>
      </c>
      <c r="B40" s="6">
        <v>44278</v>
      </c>
      <c r="C40" s="3" t="s">
        <v>13</v>
      </c>
      <c r="D40" s="3" t="s">
        <v>22</v>
      </c>
      <c r="E40" s="3" t="s">
        <v>15</v>
      </c>
      <c r="F40" s="3" t="s">
        <v>16</v>
      </c>
      <c r="G40" s="3">
        <v>766</v>
      </c>
      <c r="H40" s="3">
        <v>5</v>
      </c>
      <c r="I40" s="3">
        <v>10</v>
      </c>
      <c r="J40" s="3">
        <f t="shared" si="0"/>
        <v>7660</v>
      </c>
      <c r="K40" s="4">
        <v>0.22</v>
      </c>
      <c r="L40" s="3">
        <f t="shared" si="1"/>
        <v>7676.8519999999999</v>
      </c>
      <c r="M40" s="3">
        <f t="shared" si="2"/>
        <v>3830</v>
      </c>
    </row>
    <row r="41" spans="1:13" ht="14.25" customHeight="1" x14ac:dyDescent="0.25">
      <c r="A41" s="3">
        <v>20</v>
      </c>
      <c r="B41" s="6">
        <v>44868</v>
      </c>
      <c r="C41" s="3" t="s">
        <v>23</v>
      </c>
      <c r="D41" s="3" t="s">
        <v>22</v>
      </c>
      <c r="E41" s="3" t="s">
        <v>27</v>
      </c>
      <c r="F41" s="3" t="s">
        <v>28</v>
      </c>
      <c r="G41" s="3">
        <v>367</v>
      </c>
      <c r="H41" s="3">
        <v>10</v>
      </c>
      <c r="I41" s="3">
        <v>21</v>
      </c>
      <c r="J41" s="3">
        <f t="shared" si="0"/>
        <v>7707</v>
      </c>
      <c r="K41" s="4">
        <v>0</v>
      </c>
      <c r="L41" s="3">
        <f t="shared" si="1"/>
        <v>7707</v>
      </c>
      <c r="M41" s="3">
        <f t="shared" si="2"/>
        <v>3670</v>
      </c>
    </row>
    <row r="42" spans="1:13" ht="14.25" customHeight="1" x14ac:dyDescent="0.25">
      <c r="A42" s="3">
        <v>270</v>
      </c>
      <c r="B42" s="6">
        <v>45594</v>
      </c>
      <c r="C42" s="3" t="s">
        <v>13</v>
      </c>
      <c r="D42" s="3" t="s">
        <v>22</v>
      </c>
      <c r="E42" s="3" t="s">
        <v>15</v>
      </c>
      <c r="F42" s="3" t="s">
        <v>21</v>
      </c>
      <c r="G42" s="3">
        <v>645</v>
      </c>
      <c r="H42" s="3">
        <v>5</v>
      </c>
      <c r="I42" s="3">
        <v>12</v>
      </c>
      <c r="J42" s="3">
        <f t="shared" si="0"/>
        <v>7740</v>
      </c>
      <c r="K42" s="4">
        <v>0.12</v>
      </c>
      <c r="L42" s="3">
        <f t="shared" si="1"/>
        <v>7749.2879999999996</v>
      </c>
      <c r="M42" s="3">
        <f t="shared" si="2"/>
        <v>3225</v>
      </c>
    </row>
    <row r="43" spans="1:13" ht="14.25" customHeight="1" x14ac:dyDescent="0.25">
      <c r="A43" s="3">
        <v>269</v>
      </c>
      <c r="B43" s="6">
        <v>44382</v>
      </c>
      <c r="C43" s="3" t="s">
        <v>13</v>
      </c>
      <c r="D43" s="3" t="s">
        <v>14</v>
      </c>
      <c r="E43" s="3" t="s">
        <v>15</v>
      </c>
      <c r="F43" s="3" t="s">
        <v>21</v>
      </c>
      <c r="G43" s="3">
        <v>708</v>
      </c>
      <c r="H43" s="3">
        <v>5</v>
      </c>
      <c r="I43" s="3">
        <v>11</v>
      </c>
      <c r="J43" s="3">
        <f t="shared" si="0"/>
        <v>7788</v>
      </c>
      <c r="K43" s="4">
        <v>0.12</v>
      </c>
      <c r="L43" s="3">
        <f t="shared" si="1"/>
        <v>7797.3455999999996</v>
      </c>
      <c r="M43" s="3">
        <f t="shared" si="2"/>
        <v>3540</v>
      </c>
    </row>
    <row r="44" spans="1:13" ht="14.25" customHeight="1" x14ac:dyDescent="0.25">
      <c r="A44" s="3">
        <v>171</v>
      </c>
      <c r="B44" s="6">
        <v>45566</v>
      </c>
      <c r="C44" s="3" t="s">
        <v>23</v>
      </c>
      <c r="D44" s="3" t="s">
        <v>22</v>
      </c>
      <c r="E44" s="3" t="s">
        <v>18</v>
      </c>
      <c r="F44" s="3" t="s">
        <v>21</v>
      </c>
      <c r="G44" s="3">
        <v>1116</v>
      </c>
      <c r="H44" s="3">
        <v>3</v>
      </c>
      <c r="I44" s="3">
        <v>7</v>
      </c>
      <c r="J44" s="3">
        <f t="shared" si="0"/>
        <v>7812</v>
      </c>
      <c r="K44" s="4">
        <v>0.1</v>
      </c>
      <c r="L44" s="3">
        <f t="shared" si="1"/>
        <v>7819.8119999999999</v>
      </c>
      <c r="M44" s="3">
        <f t="shared" si="2"/>
        <v>3348</v>
      </c>
    </row>
    <row r="45" spans="1:13" ht="14.25" customHeight="1" x14ac:dyDescent="0.25">
      <c r="A45" s="3">
        <v>1</v>
      </c>
      <c r="B45" s="6">
        <v>45099</v>
      </c>
      <c r="C45" s="3" t="s">
        <v>13</v>
      </c>
      <c r="D45" s="3" t="s">
        <v>14</v>
      </c>
      <c r="E45" s="3" t="s">
        <v>18</v>
      </c>
      <c r="F45" s="3" t="s">
        <v>28</v>
      </c>
      <c r="G45" s="3">
        <v>1618.5</v>
      </c>
      <c r="H45" s="3">
        <v>3</v>
      </c>
      <c r="I45" s="3">
        <v>5</v>
      </c>
      <c r="J45" s="3">
        <f t="shared" si="0"/>
        <v>8092.5</v>
      </c>
      <c r="K45" s="4">
        <v>0</v>
      </c>
      <c r="L45" s="3">
        <f t="shared" si="1"/>
        <v>8092.5</v>
      </c>
      <c r="M45" s="3">
        <f t="shared" si="2"/>
        <v>4855.5</v>
      </c>
    </row>
    <row r="46" spans="1:13" ht="14.25" customHeight="1" x14ac:dyDescent="0.25">
      <c r="A46" s="3">
        <v>499</v>
      </c>
      <c r="B46" s="6">
        <v>44816</v>
      </c>
      <c r="C46" s="3" t="s">
        <v>29</v>
      </c>
      <c r="D46" s="3" t="s">
        <v>25</v>
      </c>
      <c r="E46" s="3" t="s">
        <v>18</v>
      </c>
      <c r="F46" s="3" t="s">
        <v>16</v>
      </c>
      <c r="G46" s="3">
        <v>1174</v>
      </c>
      <c r="H46" s="3">
        <v>3</v>
      </c>
      <c r="I46" s="3">
        <v>7</v>
      </c>
      <c r="J46" s="3">
        <f t="shared" si="0"/>
        <v>8218</v>
      </c>
      <c r="K46" s="4">
        <v>0.25</v>
      </c>
      <c r="L46" s="3">
        <f t="shared" si="1"/>
        <v>8238.5450000000001</v>
      </c>
      <c r="M46" s="3">
        <f t="shared" si="2"/>
        <v>3522</v>
      </c>
    </row>
    <row r="47" spans="1:13" ht="14.25" customHeight="1" x14ac:dyDescent="0.25">
      <c r="A47" s="3">
        <v>85</v>
      </c>
      <c r="B47" s="6">
        <v>44964</v>
      </c>
      <c r="C47" s="3" t="s">
        <v>23</v>
      </c>
      <c r="D47" s="3" t="s">
        <v>20</v>
      </c>
      <c r="E47" s="3" t="s">
        <v>15</v>
      </c>
      <c r="F47" s="3" t="s">
        <v>19</v>
      </c>
      <c r="G47" s="3">
        <v>690</v>
      </c>
      <c r="H47" s="3">
        <v>5</v>
      </c>
      <c r="I47" s="3">
        <v>12</v>
      </c>
      <c r="J47" s="3">
        <f t="shared" si="0"/>
        <v>8280</v>
      </c>
      <c r="K47" s="4">
        <v>0.01</v>
      </c>
      <c r="L47" s="3">
        <f t="shared" si="1"/>
        <v>8280.8279999999995</v>
      </c>
      <c r="M47" s="3">
        <f t="shared" si="2"/>
        <v>3450</v>
      </c>
    </row>
    <row r="48" spans="1:13" ht="14.25" customHeight="1" x14ac:dyDescent="0.25">
      <c r="A48" s="3">
        <v>445</v>
      </c>
      <c r="B48" s="6">
        <v>45035</v>
      </c>
      <c r="C48" s="3" t="s">
        <v>23</v>
      </c>
      <c r="D48" s="3" t="s">
        <v>20</v>
      </c>
      <c r="E48" s="3" t="s">
        <v>27</v>
      </c>
      <c r="F48" s="3" t="s">
        <v>16</v>
      </c>
      <c r="G48" s="3">
        <v>571</v>
      </c>
      <c r="H48" s="3">
        <v>10</v>
      </c>
      <c r="I48" s="3">
        <v>15</v>
      </c>
      <c r="J48" s="3">
        <f t="shared" si="0"/>
        <v>8565</v>
      </c>
      <c r="K48" s="4">
        <v>0.22</v>
      </c>
      <c r="L48" s="3">
        <f t="shared" si="1"/>
        <v>8583.8430000000008</v>
      </c>
      <c r="M48" s="3">
        <f t="shared" si="2"/>
        <v>5710</v>
      </c>
    </row>
    <row r="49" spans="1:13" ht="14.25" customHeight="1" x14ac:dyDescent="0.25">
      <c r="A49" s="3">
        <v>13</v>
      </c>
      <c r="B49" s="6">
        <v>45052</v>
      </c>
      <c r="C49" s="3" t="s">
        <v>26</v>
      </c>
      <c r="D49" s="3" t="s">
        <v>20</v>
      </c>
      <c r="E49" s="3" t="s">
        <v>15</v>
      </c>
      <c r="F49" s="3" t="s">
        <v>28</v>
      </c>
      <c r="G49" s="3">
        <v>958</v>
      </c>
      <c r="H49" s="3">
        <v>5</v>
      </c>
      <c r="I49" s="3">
        <v>9</v>
      </c>
      <c r="J49" s="3">
        <f t="shared" si="0"/>
        <v>8622</v>
      </c>
      <c r="K49" s="4">
        <v>0</v>
      </c>
      <c r="L49" s="3">
        <f t="shared" si="1"/>
        <v>8622</v>
      </c>
      <c r="M49" s="3">
        <f t="shared" si="2"/>
        <v>4790</v>
      </c>
    </row>
    <row r="50" spans="1:13" ht="14.25" customHeight="1" x14ac:dyDescent="0.25">
      <c r="A50" s="3">
        <v>300</v>
      </c>
      <c r="B50" s="6">
        <v>44526</v>
      </c>
      <c r="C50" s="3" t="s">
        <v>26</v>
      </c>
      <c r="D50" s="3" t="s">
        <v>14</v>
      </c>
      <c r="E50" s="3" t="s">
        <v>18</v>
      </c>
      <c r="F50" s="3" t="s">
        <v>21</v>
      </c>
      <c r="G50" s="3">
        <v>1094</v>
      </c>
      <c r="H50" s="3">
        <v>3</v>
      </c>
      <c r="I50" s="3">
        <v>8</v>
      </c>
      <c r="J50" s="3">
        <f t="shared" si="0"/>
        <v>8752</v>
      </c>
      <c r="K50" s="4">
        <v>0.19</v>
      </c>
      <c r="L50" s="3">
        <f t="shared" si="1"/>
        <v>8768.6288000000004</v>
      </c>
      <c r="M50" s="3">
        <f t="shared" si="2"/>
        <v>3282</v>
      </c>
    </row>
    <row r="51" spans="1:13" ht="14.25" customHeight="1" x14ac:dyDescent="0.25">
      <c r="A51" s="3">
        <v>473</v>
      </c>
      <c r="B51" s="6">
        <v>44947</v>
      </c>
      <c r="C51" s="3" t="s">
        <v>26</v>
      </c>
      <c r="D51" s="3" t="s">
        <v>14</v>
      </c>
      <c r="E51" s="3" t="s">
        <v>18</v>
      </c>
      <c r="F51" s="3" t="s">
        <v>16</v>
      </c>
      <c r="G51" s="3">
        <v>1496</v>
      </c>
      <c r="H51" s="3">
        <v>3</v>
      </c>
      <c r="I51" s="3">
        <v>6</v>
      </c>
      <c r="J51" s="3">
        <f t="shared" si="0"/>
        <v>8976</v>
      </c>
      <c r="K51" s="4">
        <v>0.21</v>
      </c>
      <c r="L51" s="3">
        <f t="shared" si="1"/>
        <v>8994.8495999999996</v>
      </c>
      <c r="M51" s="3">
        <f t="shared" si="2"/>
        <v>4488</v>
      </c>
    </row>
    <row r="52" spans="1:13" ht="14.25" customHeight="1" x14ac:dyDescent="0.25">
      <c r="A52" s="3">
        <v>436</v>
      </c>
      <c r="B52" s="6">
        <v>45300</v>
      </c>
      <c r="C52" s="3" t="s">
        <v>23</v>
      </c>
      <c r="D52" s="3" t="s">
        <v>20</v>
      </c>
      <c r="E52" s="3" t="s">
        <v>15</v>
      </c>
      <c r="F52" s="3" t="s">
        <v>16</v>
      </c>
      <c r="G52" s="3">
        <v>604</v>
      </c>
      <c r="H52" s="3">
        <v>5</v>
      </c>
      <c r="I52" s="3">
        <v>15</v>
      </c>
      <c r="J52" s="3">
        <f t="shared" si="0"/>
        <v>9060</v>
      </c>
      <c r="K52" s="4">
        <v>0.25</v>
      </c>
      <c r="L52" s="3">
        <f t="shared" si="1"/>
        <v>9082.65</v>
      </c>
      <c r="M52" s="3">
        <f t="shared" si="2"/>
        <v>3020</v>
      </c>
    </row>
    <row r="53" spans="1:13" ht="14.25" customHeight="1" x14ac:dyDescent="0.25">
      <c r="A53" s="3">
        <v>83</v>
      </c>
      <c r="B53" s="6">
        <v>45681</v>
      </c>
      <c r="C53" s="3" t="s">
        <v>23</v>
      </c>
      <c r="D53" s="3" t="s">
        <v>17</v>
      </c>
      <c r="E53" s="3" t="s">
        <v>15</v>
      </c>
      <c r="F53" s="3" t="s">
        <v>19</v>
      </c>
      <c r="G53" s="3">
        <v>1142</v>
      </c>
      <c r="H53" s="3">
        <v>5</v>
      </c>
      <c r="I53" s="3">
        <v>8</v>
      </c>
      <c r="J53" s="3">
        <f t="shared" si="0"/>
        <v>9136</v>
      </c>
      <c r="K53" s="4">
        <v>0.04</v>
      </c>
      <c r="L53" s="3">
        <f t="shared" si="1"/>
        <v>9139.6543999999994</v>
      </c>
      <c r="M53" s="3">
        <f t="shared" si="2"/>
        <v>5710</v>
      </c>
    </row>
    <row r="54" spans="1:13" ht="14.25" customHeight="1" x14ac:dyDescent="0.25">
      <c r="A54" s="3">
        <v>7</v>
      </c>
      <c r="B54" s="6">
        <v>45772</v>
      </c>
      <c r="C54" s="3" t="s">
        <v>24</v>
      </c>
      <c r="D54" s="3" t="s">
        <v>22</v>
      </c>
      <c r="E54" s="3" t="s">
        <v>15</v>
      </c>
      <c r="F54" s="3" t="s">
        <v>28</v>
      </c>
      <c r="G54" s="3">
        <v>921</v>
      </c>
      <c r="H54" s="3">
        <v>5</v>
      </c>
      <c r="I54" s="3">
        <v>10</v>
      </c>
      <c r="J54" s="3">
        <f t="shared" si="0"/>
        <v>9210</v>
      </c>
      <c r="K54" s="4">
        <v>0</v>
      </c>
      <c r="L54" s="3">
        <f t="shared" si="1"/>
        <v>9210</v>
      </c>
      <c r="M54" s="3">
        <f t="shared" si="2"/>
        <v>4605</v>
      </c>
    </row>
    <row r="55" spans="1:13" ht="14.25" customHeight="1" x14ac:dyDescent="0.25">
      <c r="A55" s="3">
        <v>15</v>
      </c>
      <c r="B55" s="6">
        <v>45017</v>
      </c>
      <c r="C55" s="3" t="s">
        <v>24</v>
      </c>
      <c r="D55" s="3" t="s">
        <v>17</v>
      </c>
      <c r="E55" s="3" t="s">
        <v>15</v>
      </c>
      <c r="F55" s="3" t="s">
        <v>28</v>
      </c>
      <c r="G55" s="3">
        <v>615</v>
      </c>
      <c r="H55" s="3">
        <v>5</v>
      </c>
      <c r="I55" s="3">
        <v>15</v>
      </c>
      <c r="J55" s="3">
        <f t="shared" si="0"/>
        <v>9225</v>
      </c>
      <c r="K55" s="4">
        <v>0</v>
      </c>
      <c r="L55" s="3">
        <f t="shared" si="1"/>
        <v>9225</v>
      </c>
      <c r="M55" s="3">
        <f t="shared" si="2"/>
        <v>3075</v>
      </c>
    </row>
    <row r="56" spans="1:13" ht="14.25" customHeight="1" x14ac:dyDescent="0.25">
      <c r="A56" s="3">
        <v>432</v>
      </c>
      <c r="B56" s="6">
        <v>44465</v>
      </c>
      <c r="C56" s="3" t="s">
        <v>13</v>
      </c>
      <c r="D56" s="3" t="s">
        <v>14</v>
      </c>
      <c r="E56" s="3" t="s">
        <v>18</v>
      </c>
      <c r="F56" s="3" t="s">
        <v>16</v>
      </c>
      <c r="G56" s="3">
        <v>923</v>
      </c>
      <c r="H56" s="3">
        <v>3</v>
      </c>
      <c r="I56" s="3">
        <v>10</v>
      </c>
      <c r="J56" s="3">
        <f t="shared" si="0"/>
        <v>9230</v>
      </c>
      <c r="K56" s="4">
        <v>0.2</v>
      </c>
      <c r="L56" s="3">
        <f t="shared" si="1"/>
        <v>9248.4599999999991</v>
      </c>
      <c r="M56" s="3">
        <f t="shared" si="2"/>
        <v>2769</v>
      </c>
    </row>
    <row r="57" spans="1:13" ht="14.25" customHeight="1" x14ac:dyDescent="0.25">
      <c r="A57" s="3">
        <v>267</v>
      </c>
      <c r="B57" s="6">
        <v>44758</v>
      </c>
      <c r="C57" s="3" t="s">
        <v>13</v>
      </c>
      <c r="D57" s="3" t="s">
        <v>20</v>
      </c>
      <c r="E57" s="3" t="s">
        <v>18</v>
      </c>
      <c r="F57" s="3" t="s">
        <v>21</v>
      </c>
      <c r="G57" s="3">
        <v>1362</v>
      </c>
      <c r="H57" s="3">
        <v>3</v>
      </c>
      <c r="I57" s="3">
        <v>7</v>
      </c>
      <c r="J57" s="3">
        <f t="shared" si="0"/>
        <v>9534</v>
      </c>
      <c r="K57" s="4">
        <v>0.15</v>
      </c>
      <c r="L57" s="3">
        <f t="shared" si="1"/>
        <v>9548.3009999999995</v>
      </c>
      <c r="M57" s="3">
        <f t="shared" si="2"/>
        <v>4086</v>
      </c>
    </row>
    <row r="58" spans="1:13" ht="14.25" customHeight="1" x14ac:dyDescent="0.25">
      <c r="A58" s="3">
        <v>376</v>
      </c>
      <c r="B58" s="6">
        <v>44882</v>
      </c>
      <c r="C58" s="3" t="s">
        <v>23</v>
      </c>
      <c r="D58" s="3" t="s">
        <v>14</v>
      </c>
      <c r="E58" s="3" t="s">
        <v>18</v>
      </c>
      <c r="F58" s="3" t="s">
        <v>16</v>
      </c>
      <c r="G58" s="3">
        <v>1937</v>
      </c>
      <c r="H58" s="3">
        <v>3</v>
      </c>
      <c r="I58" s="3">
        <v>5</v>
      </c>
      <c r="J58" s="3">
        <f t="shared" si="0"/>
        <v>9685</v>
      </c>
      <c r="K58" s="4">
        <v>0.24</v>
      </c>
      <c r="L58" s="3">
        <f t="shared" si="1"/>
        <v>9708.2440000000006</v>
      </c>
      <c r="M58" s="3">
        <f t="shared" si="2"/>
        <v>5811</v>
      </c>
    </row>
    <row r="59" spans="1:13" ht="14.25" customHeight="1" x14ac:dyDescent="0.25">
      <c r="A59" s="3">
        <v>501</v>
      </c>
      <c r="B59" s="6">
        <v>45705</v>
      </c>
      <c r="C59" s="3" t="s">
        <v>29</v>
      </c>
      <c r="D59" s="3" t="s">
        <v>22</v>
      </c>
      <c r="E59" s="3" t="s">
        <v>18</v>
      </c>
      <c r="F59" s="3" t="s">
        <v>16</v>
      </c>
      <c r="G59" s="3">
        <v>1085</v>
      </c>
      <c r="H59" s="3">
        <v>3</v>
      </c>
      <c r="I59" s="3">
        <v>9</v>
      </c>
      <c r="J59" s="3">
        <f t="shared" si="0"/>
        <v>9765</v>
      </c>
      <c r="K59" s="4">
        <v>0.24</v>
      </c>
      <c r="L59" s="3">
        <f t="shared" si="1"/>
        <v>9788.4359999999997</v>
      </c>
      <c r="M59" s="3">
        <f t="shared" si="2"/>
        <v>3255</v>
      </c>
    </row>
    <row r="60" spans="1:13" ht="14.25" customHeight="1" x14ac:dyDescent="0.25">
      <c r="A60" s="3">
        <v>209</v>
      </c>
      <c r="B60" s="6">
        <v>45936</v>
      </c>
      <c r="C60" s="3" t="s">
        <v>13</v>
      </c>
      <c r="D60" s="3" t="s">
        <v>20</v>
      </c>
      <c r="E60" s="3" t="s">
        <v>15</v>
      </c>
      <c r="F60" s="3" t="s">
        <v>21</v>
      </c>
      <c r="G60" s="3">
        <v>980</v>
      </c>
      <c r="H60" s="3">
        <v>5</v>
      </c>
      <c r="I60" s="3">
        <v>10</v>
      </c>
      <c r="J60" s="3">
        <f t="shared" si="0"/>
        <v>9800</v>
      </c>
      <c r="K60" s="4">
        <v>0.16</v>
      </c>
      <c r="L60" s="3">
        <f t="shared" si="1"/>
        <v>9815.68</v>
      </c>
      <c r="M60" s="3">
        <f t="shared" si="2"/>
        <v>4900</v>
      </c>
    </row>
    <row r="61" spans="1:13" ht="14.25" customHeight="1" x14ac:dyDescent="0.25">
      <c r="A61" s="3">
        <v>173</v>
      </c>
      <c r="B61" s="6">
        <v>45691</v>
      </c>
      <c r="C61" s="3" t="s">
        <v>26</v>
      </c>
      <c r="D61" s="3" t="s">
        <v>17</v>
      </c>
      <c r="E61" s="3" t="s">
        <v>18</v>
      </c>
      <c r="F61" s="3" t="s">
        <v>21</v>
      </c>
      <c r="G61" s="3">
        <v>991</v>
      </c>
      <c r="H61" s="3">
        <v>3</v>
      </c>
      <c r="I61" s="3">
        <v>10</v>
      </c>
      <c r="J61" s="3">
        <f t="shared" si="0"/>
        <v>9910</v>
      </c>
      <c r="K61" s="4">
        <v>0.19</v>
      </c>
      <c r="L61" s="3">
        <f t="shared" si="1"/>
        <v>9928.8289999999997</v>
      </c>
      <c r="M61" s="3">
        <f t="shared" si="2"/>
        <v>2973</v>
      </c>
    </row>
    <row r="62" spans="1:13" ht="14.25" customHeight="1" x14ac:dyDescent="0.25">
      <c r="A62" s="3">
        <v>186</v>
      </c>
      <c r="B62" s="6">
        <v>44693</v>
      </c>
      <c r="C62" s="3" t="s">
        <v>13</v>
      </c>
      <c r="D62" s="3" t="s">
        <v>17</v>
      </c>
      <c r="E62" s="3" t="s">
        <v>27</v>
      </c>
      <c r="F62" s="3" t="s">
        <v>21</v>
      </c>
      <c r="G62" s="3">
        <v>602</v>
      </c>
      <c r="H62" s="3">
        <v>10</v>
      </c>
      <c r="I62" s="3">
        <v>17</v>
      </c>
      <c r="J62" s="3">
        <f t="shared" si="0"/>
        <v>10234</v>
      </c>
      <c r="K62" s="4">
        <v>0.13</v>
      </c>
      <c r="L62" s="3">
        <f t="shared" si="1"/>
        <v>10247.3042</v>
      </c>
      <c r="M62" s="3">
        <f t="shared" si="2"/>
        <v>6020</v>
      </c>
    </row>
    <row r="63" spans="1:13" ht="14.25" customHeight="1" x14ac:dyDescent="0.25">
      <c r="A63" s="3">
        <v>2</v>
      </c>
      <c r="B63" s="6">
        <v>44896</v>
      </c>
      <c r="C63" s="3" t="s">
        <v>13</v>
      </c>
      <c r="D63" s="3" t="s">
        <v>22</v>
      </c>
      <c r="E63" s="3" t="s">
        <v>18</v>
      </c>
      <c r="F63" s="3" t="s">
        <v>28</v>
      </c>
      <c r="G63" s="3">
        <v>1321</v>
      </c>
      <c r="H63" s="3">
        <v>3</v>
      </c>
      <c r="I63" s="3">
        <v>8</v>
      </c>
      <c r="J63" s="3">
        <f t="shared" si="0"/>
        <v>10568</v>
      </c>
      <c r="K63" s="4">
        <v>0</v>
      </c>
      <c r="L63" s="3">
        <f t="shared" si="1"/>
        <v>10568</v>
      </c>
      <c r="M63" s="3">
        <f t="shared" si="2"/>
        <v>3963</v>
      </c>
    </row>
    <row r="64" spans="1:13" ht="14.25" customHeight="1" x14ac:dyDescent="0.25">
      <c r="A64" s="3">
        <v>475</v>
      </c>
      <c r="B64" s="6">
        <v>45428</v>
      </c>
      <c r="C64" s="3" t="s">
        <v>24</v>
      </c>
      <c r="D64" s="3" t="s">
        <v>22</v>
      </c>
      <c r="E64" s="3" t="s">
        <v>18</v>
      </c>
      <c r="F64" s="3" t="s">
        <v>16</v>
      </c>
      <c r="G64" s="3">
        <v>1513</v>
      </c>
      <c r="H64" s="3">
        <v>3</v>
      </c>
      <c r="I64" s="3">
        <v>7</v>
      </c>
      <c r="J64" s="3">
        <f t="shared" si="0"/>
        <v>10591</v>
      </c>
      <c r="K64" s="4">
        <v>0.22</v>
      </c>
      <c r="L64" s="3">
        <f t="shared" si="1"/>
        <v>10614.3002</v>
      </c>
      <c r="M64" s="3">
        <f t="shared" si="2"/>
        <v>4539</v>
      </c>
    </row>
    <row r="65" spans="1:13" ht="14.25" customHeight="1" x14ac:dyDescent="0.25">
      <c r="A65" s="3">
        <v>434</v>
      </c>
      <c r="B65" s="6">
        <v>44272</v>
      </c>
      <c r="C65" s="3" t="s">
        <v>13</v>
      </c>
      <c r="D65" s="3" t="s">
        <v>17</v>
      </c>
      <c r="E65" s="3" t="s">
        <v>15</v>
      </c>
      <c r="F65" s="3" t="s">
        <v>16</v>
      </c>
      <c r="G65" s="3">
        <v>982.5</v>
      </c>
      <c r="H65" s="3">
        <v>5</v>
      </c>
      <c r="I65" s="3">
        <v>11</v>
      </c>
      <c r="J65" s="3">
        <f t="shared" si="0"/>
        <v>10807.5</v>
      </c>
      <c r="K65" s="4">
        <v>0.25</v>
      </c>
      <c r="L65" s="3">
        <f t="shared" si="1"/>
        <v>10834.518749999999</v>
      </c>
      <c r="M65" s="3">
        <f t="shared" si="2"/>
        <v>4912.5</v>
      </c>
    </row>
    <row r="66" spans="1:13" ht="14.25" customHeight="1" x14ac:dyDescent="0.25">
      <c r="A66" s="3">
        <v>3</v>
      </c>
      <c r="B66" s="6">
        <v>45051</v>
      </c>
      <c r="C66" s="3" t="s">
        <v>24</v>
      </c>
      <c r="D66" s="3" t="s">
        <v>25</v>
      </c>
      <c r="E66" s="3" t="s">
        <v>18</v>
      </c>
      <c r="F66" s="3" t="s">
        <v>28</v>
      </c>
      <c r="G66" s="3">
        <v>2178</v>
      </c>
      <c r="H66" s="3">
        <v>3</v>
      </c>
      <c r="I66" s="3">
        <v>5</v>
      </c>
      <c r="J66" s="3">
        <f t="shared" si="0"/>
        <v>10890</v>
      </c>
      <c r="K66" s="4">
        <v>0</v>
      </c>
      <c r="L66" s="3">
        <f t="shared" si="1"/>
        <v>10890</v>
      </c>
      <c r="M66" s="3">
        <f t="shared" si="2"/>
        <v>6534</v>
      </c>
    </row>
    <row r="67" spans="1:13" ht="14.25" customHeight="1" x14ac:dyDescent="0.25">
      <c r="A67" s="3">
        <v>52</v>
      </c>
      <c r="B67" s="6">
        <v>45471</v>
      </c>
      <c r="C67" s="3" t="s">
        <v>13</v>
      </c>
      <c r="D67" s="3" t="s">
        <v>20</v>
      </c>
      <c r="E67" s="3" t="s">
        <v>18</v>
      </c>
      <c r="F67" s="3" t="s">
        <v>19</v>
      </c>
      <c r="G67" s="3">
        <v>1210</v>
      </c>
      <c r="H67" s="3">
        <v>3</v>
      </c>
      <c r="I67" s="3">
        <v>9</v>
      </c>
      <c r="J67" s="3">
        <f t="shared" si="0"/>
        <v>10890</v>
      </c>
      <c r="K67" s="4">
        <v>0.02</v>
      </c>
      <c r="L67" s="3">
        <f t="shared" si="1"/>
        <v>10892.178</v>
      </c>
      <c r="M67" s="3">
        <f t="shared" si="2"/>
        <v>3630</v>
      </c>
    </row>
    <row r="68" spans="1:13" ht="14.25" customHeight="1" x14ac:dyDescent="0.25">
      <c r="A68" s="3">
        <v>172</v>
      </c>
      <c r="B68" s="6">
        <v>44211</v>
      </c>
      <c r="C68" s="3" t="s">
        <v>13</v>
      </c>
      <c r="D68" s="3" t="s">
        <v>25</v>
      </c>
      <c r="E68" s="3" t="s">
        <v>18</v>
      </c>
      <c r="F68" s="3" t="s">
        <v>21</v>
      </c>
      <c r="G68" s="3">
        <v>1563</v>
      </c>
      <c r="H68" s="3">
        <v>3</v>
      </c>
      <c r="I68" s="3">
        <v>7</v>
      </c>
      <c r="J68" s="3">
        <f t="shared" si="0"/>
        <v>10941</v>
      </c>
      <c r="K68" s="4">
        <v>0.19</v>
      </c>
      <c r="L68" s="3">
        <f t="shared" si="1"/>
        <v>10961.787899999999</v>
      </c>
      <c r="M68" s="3">
        <f t="shared" si="2"/>
        <v>4689</v>
      </c>
    </row>
    <row r="69" spans="1:13" ht="14.25" customHeight="1" x14ac:dyDescent="0.25">
      <c r="A69" s="3">
        <v>56</v>
      </c>
      <c r="B69" s="6">
        <v>45408</v>
      </c>
      <c r="C69" s="3" t="s">
        <v>13</v>
      </c>
      <c r="D69" s="3" t="s">
        <v>20</v>
      </c>
      <c r="E69" s="3" t="s">
        <v>18</v>
      </c>
      <c r="F69" s="3" t="s">
        <v>19</v>
      </c>
      <c r="G69" s="3">
        <v>1397</v>
      </c>
      <c r="H69" s="3">
        <v>3</v>
      </c>
      <c r="I69" s="3">
        <v>8</v>
      </c>
      <c r="J69" s="3">
        <f t="shared" si="0"/>
        <v>11176</v>
      </c>
      <c r="K69" s="4">
        <v>0.09</v>
      </c>
      <c r="L69" s="3">
        <f t="shared" si="1"/>
        <v>11186.0584</v>
      </c>
      <c r="M69" s="3">
        <f t="shared" si="2"/>
        <v>4191</v>
      </c>
    </row>
    <row r="70" spans="1:13" ht="14.25" customHeight="1" x14ac:dyDescent="0.25">
      <c r="A70" s="3">
        <v>170</v>
      </c>
      <c r="B70" s="6">
        <v>46008</v>
      </c>
      <c r="C70" s="3" t="s">
        <v>23</v>
      </c>
      <c r="D70" s="3" t="s">
        <v>25</v>
      </c>
      <c r="E70" s="3" t="s">
        <v>18</v>
      </c>
      <c r="F70" s="3" t="s">
        <v>21</v>
      </c>
      <c r="G70" s="3">
        <v>1865</v>
      </c>
      <c r="H70" s="3">
        <v>3</v>
      </c>
      <c r="I70" s="3">
        <v>6</v>
      </c>
      <c r="J70" s="3">
        <f t="shared" si="0"/>
        <v>11190</v>
      </c>
      <c r="K70" s="4">
        <v>0.15</v>
      </c>
      <c r="L70" s="3">
        <f t="shared" si="1"/>
        <v>11206.785</v>
      </c>
      <c r="M70" s="3">
        <f t="shared" si="2"/>
        <v>5595</v>
      </c>
    </row>
    <row r="71" spans="1:13" ht="14.25" customHeight="1" x14ac:dyDescent="0.25">
      <c r="A71" s="3">
        <v>67</v>
      </c>
      <c r="B71" s="6">
        <v>45938</v>
      </c>
      <c r="C71" s="3" t="s">
        <v>24</v>
      </c>
      <c r="D71" s="3" t="s">
        <v>22</v>
      </c>
      <c r="E71" s="3" t="s">
        <v>27</v>
      </c>
      <c r="F71" s="3" t="s">
        <v>19</v>
      </c>
      <c r="G71" s="3">
        <v>747</v>
      </c>
      <c r="H71" s="3">
        <v>10</v>
      </c>
      <c r="I71" s="3">
        <v>15</v>
      </c>
      <c r="J71" s="3">
        <f t="shared" si="0"/>
        <v>11205</v>
      </c>
      <c r="K71" s="4">
        <v>7.0000000000000007E-2</v>
      </c>
      <c r="L71" s="3">
        <f t="shared" si="1"/>
        <v>11212.843500000001</v>
      </c>
      <c r="M71" s="3">
        <f t="shared" si="2"/>
        <v>7470</v>
      </c>
    </row>
    <row r="72" spans="1:13" ht="14.25" customHeight="1" x14ac:dyDescent="0.25">
      <c r="A72" s="3">
        <v>485</v>
      </c>
      <c r="B72" s="6">
        <v>45948</v>
      </c>
      <c r="C72" s="3" t="s">
        <v>13</v>
      </c>
      <c r="D72" s="3" t="s">
        <v>14</v>
      </c>
      <c r="E72" s="3" t="s">
        <v>27</v>
      </c>
      <c r="F72" s="3" t="s">
        <v>16</v>
      </c>
      <c r="G72" s="3">
        <v>700</v>
      </c>
      <c r="H72" s="3">
        <v>10</v>
      </c>
      <c r="I72" s="3">
        <v>16</v>
      </c>
      <c r="J72" s="3">
        <f t="shared" si="0"/>
        <v>11200</v>
      </c>
      <c r="K72" s="4">
        <v>0.2</v>
      </c>
      <c r="L72" s="3">
        <f t="shared" si="1"/>
        <v>11222.4</v>
      </c>
      <c r="M72" s="3">
        <f t="shared" si="2"/>
        <v>7000</v>
      </c>
    </row>
    <row r="73" spans="1:13" ht="14.25" customHeight="1" x14ac:dyDescent="0.25">
      <c r="A73" s="3">
        <v>65</v>
      </c>
      <c r="B73" s="6">
        <v>45827</v>
      </c>
      <c r="C73" s="3" t="s">
        <v>29</v>
      </c>
      <c r="D73" s="3" t="s">
        <v>25</v>
      </c>
      <c r="E73" s="3" t="s">
        <v>27</v>
      </c>
      <c r="F73" s="3" t="s">
        <v>19</v>
      </c>
      <c r="G73" s="3">
        <v>787</v>
      </c>
      <c r="H73" s="3">
        <v>10</v>
      </c>
      <c r="I73" s="3">
        <v>15</v>
      </c>
      <c r="J73" s="3">
        <f t="shared" si="0"/>
        <v>11805</v>
      </c>
      <c r="K73" s="4">
        <v>0.06</v>
      </c>
      <c r="L73" s="3">
        <f t="shared" si="1"/>
        <v>11812.083000000001</v>
      </c>
      <c r="M73" s="3">
        <f t="shared" si="2"/>
        <v>7870</v>
      </c>
    </row>
    <row r="74" spans="1:13" ht="14.25" customHeight="1" x14ac:dyDescent="0.25">
      <c r="A74" s="3">
        <v>6</v>
      </c>
      <c r="B74" s="6">
        <v>44881</v>
      </c>
      <c r="C74" s="3" t="s">
        <v>13</v>
      </c>
      <c r="D74" s="3" t="s">
        <v>22</v>
      </c>
      <c r="E74" s="3" t="s">
        <v>18</v>
      </c>
      <c r="F74" s="3" t="s">
        <v>28</v>
      </c>
      <c r="G74" s="3">
        <v>1513</v>
      </c>
      <c r="H74" s="3">
        <v>3</v>
      </c>
      <c r="I74" s="3">
        <v>8</v>
      </c>
      <c r="J74" s="3">
        <f t="shared" si="0"/>
        <v>12104</v>
      </c>
      <c r="K74" s="4">
        <v>0</v>
      </c>
      <c r="L74" s="3">
        <f t="shared" si="1"/>
        <v>12104</v>
      </c>
      <c r="M74" s="3">
        <f t="shared" si="2"/>
        <v>4539</v>
      </c>
    </row>
    <row r="75" spans="1:13" ht="14.25" customHeight="1" x14ac:dyDescent="0.25">
      <c r="A75" s="3">
        <v>265</v>
      </c>
      <c r="B75" s="6">
        <v>45397</v>
      </c>
      <c r="C75" s="3" t="s">
        <v>29</v>
      </c>
      <c r="D75" s="3" t="s">
        <v>20</v>
      </c>
      <c r="E75" s="3" t="s">
        <v>18</v>
      </c>
      <c r="F75" s="3" t="s">
        <v>21</v>
      </c>
      <c r="G75" s="3">
        <v>1540</v>
      </c>
      <c r="H75" s="3">
        <v>3</v>
      </c>
      <c r="I75" s="3">
        <v>8</v>
      </c>
      <c r="J75" s="3">
        <f t="shared" si="0"/>
        <v>12320</v>
      </c>
      <c r="K75" s="4">
        <v>0.13</v>
      </c>
      <c r="L75" s="3">
        <f t="shared" si="1"/>
        <v>12336.016</v>
      </c>
      <c r="M75" s="3">
        <f t="shared" si="2"/>
        <v>4620</v>
      </c>
    </row>
    <row r="76" spans="1:13" ht="14.25" customHeight="1" x14ac:dyDescent="0.25">
      <c r="A76" s="3">
        <v>5</v>
      </c>
      <c r="B76" s="6">
        <v>44410</v>
      </c>
      <c r="C76" s="3" t="s">
        <v>24</v>
      </c>
      <c r="D76" s="3" t="s">
        <v>20</v>
      </c>
      <c r="E76" s="3" t="s">
        <v>18</v>
      </c>
      <c r="F76" s="3" t="s">
        <v>28</v>
      </c>
      <c r="G76" s="3">
        <v>2470</v>
      </c>
      <c r="H76" s="3">
        <v>3</v>
      </c>
      <c r="I76" s="3">
        <v>5</v>
      </c>
      <c r="J76" s="3">
        <f t="shared" si="0"/>
        <v>12350</v>
      </c>
      <c r="K76" s="4">
        <v>0</v>
      </c>
      <c r="L76" s="3">
        <f t="shared" si="1"/>
        <v>12350</v>
      </c>
      <c r="M76" s="3">
        <f t="shared" si="2"/>
        <v>7410</v>
      </c>
    </row>
    <row r="77" spans="1:13" ht="14.25" customHeight="1" x14ac:dyDescent="0.25">
      <c r="A77" s="3">
        <v>346</v>
      </c>
      <c r="B77" s="6">
        <v>45482</v>
      </c>
      <c r="C77" s="3" t="s">
        <v>26</v>
      </c>
      <c r="D77" s="3" t="s">
        <v>20</v>
      </c>
      <c r="E77" s="3" t="s">
        <v>27</v>
      </c>
      <c r="F77" s="3" t="s">
        <v>16</v>
      </c>
      <c r="G77" s="3">
        <v>591</v>
      </c>
      <c r="H77" s="3">
        <v>10</v>
      </c>
      <c r="I77" s="3">
        <v>21</v>
      </c>
      <c r="J77" s="3">
        <f t="shared" si="0"/>
        <v>12411</v>
      </c>
      <c r="K77" s="4">
        <v>0.2</v>
      </c>
      <c r="L77" s="3">
        <f t="shared" si="1"/>
        <v>12435.822</v>
      </c>
      <c r="M77" s="3">
        <f t="shared" si="2"/>
        <v>5910</v>
      </c>
    </row>
    <row r="78" spans="1:13" ht="14.25" customHeight="1" x14ac:dyDescent="0.25">
      <c r="A78" s="3">
        <v>330</v>
      </c>
      <c r="B78" s="6">
        <v>44976</v>
      </c>
      <c r="C78" s="3" t="s">
        <v>23</v>
      </c>
      <c r="D78" s="3" t="s">
        <v>22</v>
      </c>
      <c r="E78" s="3" t="s">
        <v>18</v>
      </c>
      <c r="F78" s="3" t="s">
        <v>21</v>
      </c>
      <c r="G78" s="3">
        <v>1580</v>
      </c>
      <c r="H78" s="3">
        <v>3</v>
      </c>
      <c r="I78" s="3">
        <v>8</v>
      </c>
      <c r="J78" s="3">
        <f t="shared" si="0"/>
        <v>12640</v>
      </c>
      <c r="K78" s="4">
        <v>0.18</v>
      </c>
      <c r="L78" s="3">
        <f t="shared" si="1"/>
        <v>12662.752</v>
      </c>
      <c r="M78" s="3">
        <f t="shared" si="2"/>
        <v>4740</v>
      </c>
    </row>
    <row r="79" spans="1:13" ht="14.25" customHeight="1" x14ac:dyDescent="0.25">
      <c r="A79" s="3">
        <v>117</v>
      </c>
      <c r="B79" s="6">
        <v>45042</v>
      </c>
      <c r="C79" s="3" t="s">
        <v>29</v>
      </c>
      <c r="D79" s="3" t="s">
        <v>25</v>
      </c>
      <c r="E79" s="3" t="s">
        <v>15</v>
      </c>
      <c r="F79" s="3" t="s">
        <v>19</v>
      </c>
      <c r="G79" s="3">
        <v>1287</v>
      </c>
      <c r="H79" s="3">
        <v>5</v>
      </c>
      <c r="I79" s="3">
        <v>10</v>
      </c>
      <c r="J79" s="3">
        <f t="shared" si="0"/>
        <v>12870</v>
      </c>
      <c r="K79" s="4">
        <v>0.03</v>
      </c>
      <c r="L79" s="3">
        <f t="shared" si="1"/>
        <v>12873.861000000001</v>
      </c>
      <c r="M79" s="3">
        <f t="shared" si="2"/>
        <v>6435</v>
      </c>
    </row>
    <row r="80" spans="1:13" ht="14.25" customHeight="1" x14ac:dyDescent="0.25">
      <c r="A80" s="3">
        <v>111</v>
      </c>
      <c r="B80" s="6">
        <v>44902</v>
      </c>
      <c r="C80" s="3" t="s">
        <v>13</v>
      </c>
      <c r="D80" s="3" t="s">
        <v>22</v>
      </c>
      <c r="E80" s="3" t="s">
        <v>18</v>
      </c>
      <c r="F80" s="3" t="s">
        <v>19</v>
      </c>
      <c r="G80" s="3">
        <v>2580</v>
      </c>
      <c r="H80" s="3">
        <v>3</v>
      </c>
      <c r="I80" s="3">
        <v>5</v>
      </c>
      <c r="J80" s="3">
        <f t="shared" si="0"/>
        <v>12900</v>
      </c>
      <c r="K80" s="4">
        <v>0.01</v>
      </c>
      <c r="L80" s="3">
        <f t="shared" si="1"/>
        <v>12901.29</v>
      </c>
      <c r="M80" s="3">
        <f t="shared" si="2"/>
        <v>7740</v>
      </c>
    </row>
    <row r="81" spans="1:13" ht="14.25" customHeight="1" x14ac:dyDescent="0.25">
      <c r="A81" s="3">
        <v>278</v>
      </c>
      <c r="B81" s="6">
        <v>45627</v>
      </c>
      <c r="C81" s="3" t="s">
        <v>13</v>
      </c>
      <c r="D81" s="3" t="s">
        <v>17</v>
      </c>
      <c r="E81" s="3" t="s">
        <v>27</v>
      </c>
      <c r="F81" s="3" t="s">
        <v>21</v>
      </c>
      <c r="G81" s="3">
        <v>678</v>
      </c>
      <c r="H81" s="3">
        <v>10</v>
      </c>
      <c r="I81" s="3">
        <v>19</v>
      </c>
      <c r="J81" s="3">
        <f t="shared" si="0"/>
        <v>12882</v>
      </c>
      <c r="K81" s="4">
        <v>0.15</v>
      </c>
      <c r="L81" s="3">
        <f t="shared" si="1"/>
        <v>12901.323</v>
      </c>
      <c r="M81" s="3">
        <f t="shared" si="2"/>
        <v>6780</v>
      </c>
    </row>
    <row r="82" spans="1:13" ht="14.25" customHeight="1" x14ac:dyDescent="0.25">
      <c r="A82" s="3">
        <v>188</v>
      </c>
      <c r="B82" s="6">
        <v>45455</v>
      </c>
      <c r="C82" s="3" t="s">
        <v>29</v>
      </c>
      <c r="D82" s="3" t="s">
        <v>17</v>
      </c>
      <c r="E82" s="3" t="s">
        <v>27</v>
      </c>
      <c r="F82" s="3" t="s">
        <v>21</v>
      </c>
      <c r="G82" s="3">
        <v>861</v>
      </c>
      <c r="H82" s="3">
        <v>10</v>
      </c>
      <c r="I82" s="3">
        <v>15</v>
      </c>
      <c r="J82" s="3">
        <f t="shared" si="0"/>
        <v>12915</v>
      </c>
      <c r="K82" s="4">
        <v>0.17</v>
      </c>
      <c r="L82" s="3">
        <f t="shared" si="1"/>
        <v>12936.9555</v>
      </c>
      <c r="M82" s="3">
        <f t="shared" si="2"/>
        <v>8610</v>
      </c>
    </row>
    <row r="83" spans="1:13" ht="14.25" customHeight="1" x14ac:dyDescent="0.25">
      <c r="A83" s="3">
        <v>81</v>
      </c>
      <c r="B83" s="6">
        <v>44334</v>
      </c>
      <c r="C83" s="3" t="s">
        <v>23</v>
      </c>
      <c r="D83" s="3" t="s">
        <v>14</v>
      </c>
      <c r="E83" s="3" t="s">
        <v>18</v>
      </c>
      <c r="F83" s="3" t="s">
        <v>19</v>
      </c>
      <c r="G83" s="3">
        <v>1295</v>
      </c>
      <c r="H83" s="3">
        <v>3</v>
      </c>
      <c r="I83" s="3">
        <v>10</v>
      </c>
      <c r="J83" s="3">
        <f t="shared" si="0"/>
        <v>12950</v>
      </c>
      <c r="K83" s="4">
        <v>0.03</v>
      </c>
      <c r="L83" s="3">
        <f t="shared" si="1"/>
        <v>12953.885</v>
      </c>
      <c r="M83" s="3">
        <f t="shared" si="2"/>
        <v>3885</v>
      </c>
    </row>
    <row r="84" spans="1:13" ht="14.25" customHeight="1" x14ac:dyDescent="0.25">
      <c r="A84" s="3">
        <v>54</v>
      </c>
      <c r="B84" s="6">
        <v>45777</v>
      </c>
      <c r="C84" s="3" t="s">
        <v>23</v>
      </c>
      <c r="D84" s="3" t="s">
        <v>14</v>
      </c>
      <c r="E84" s="3" t="s">
        <v>18</v>
      </c>
      <c r="F84" s="3" t="s">
        <v>19</v>
      </c>
      <c r="G84" s="3">
        <v>1445</v>
      </c>
      <c r="H84" s="3">
        <v>3</v>
      </c>
      <c r="I84" s="3">
        <v>9</v>
      </c>
      <c r="J84" s="3">
        <f t="shared" si="0"/>
        <v>13005</v>
      </c>
      <c r="K84" s="4">
        <v>0.08</v>
      </c>
      <c r="L84" s="3">
        <f t="shared" si="1"/>
        <v>13015.404</v>
      </c>
      <c r="M84" s="3">
        <f t="shared" si="2"/>
        <v>4335</v>
      </c>
    </row>
    <row r="85" spans="1:13" ht="14.25" customHeight="1" x14ac:dyDescent="0.25">
      <c r="A85" s="3">
        <v>241</v>
      </c>
      <c r="B85" s="6">
        <v>44351</v>
      </c>
      <c r="C85" s="3" t="s">
        <v>26</v>
      </c>
      <c r="D85" s="3" t="s">
        <v>25</v>
      </c>
      <c r="E85" s="3" t="s">
        <v>18</v>
      </c>
      <c r="F85" s="3" t="s">
        <v>21</v>
      </c>
      <c r="G85" s="3">
        <v>2181</v>
      </c>
      <c r="H85" s="3">
        <v>3</v>
      </c>
      <c r="I85" s="3">
        <v>6</v>
      </c>
      <c r="J85" s="3">
        <f t="shared" si="0"/>
        <v>13086</v>
      </c>
      <c r="K85" s="4">
        <v>0.11</v>
      </c>
      <c r="L85" s="3">
        <f t="shared" si="1"/>
        <v>13100.3946</v>
      </c>
      <c r="M85" s="3">
        <f t="shared" si="2"/>
        <v>6543</v>
      </c>
    </row>
    <row r="86" spans="1:13" ht="14.25" customHeight="1" x14ac:dyDescent="0.25">
      <c r="A86" s="3">
        <v>382</v>
      </c>
      <c r="B86" s="6">
        <v>45238</v>
      </c>
      <c r="C86" s="3" t="s">
        <v>26</v>
      </c>
      <c r="D86" s="3" t="s">
        <v>14</v>
      </c>
      <c r="E86" s="3" t="s">
        <v>27</v>
      </c>
      <c r="F86" s="3" t="s">
        <v>16</v>
      </c>
      <c r="G86" s="3">
        <v>873</v>
      </c>
      <c r="H86" s="3">
        <v>10</v>
      </c>
      <c r="I86" s="3">
        <v>15</v>
      </c>
      <c r="J86" s="3">
        <f t="shared" si="0"/>
        <v>13095</v>
      </c>
      <c r="K86" s="4">
        <v>0.25</v>
      </c>
      <c r="L86" s="3">
        <f t="shared" si="1"/>
        <v>13127.737499999999</v>
      </c>
      <c r="M86" s="3">
        <f t="shared" si="2"/>
        <v>8730</v>
      </c>
    </row>
    <row r="87" spans="1:13" ht="14.25" customHeight="1" x14ac:dyDescent="0.25">
      <c r="A87" s="3">
        <v>440</v>
      </c>
      <c r="B87" s="6">
        <v>45153</v>
      </c>
      <c r="C87" s="3" t="s">
        <v>26</v>
      </c>
      <c r="D87" s="3" t="s">
        <v>22</v>
      </c>
      <c r="E87" s="3" t="s">
        <v>27</v>
      </c>
      <c r="F87" s="3" t="s">
        <v>16</v>
      </c>
      <c r="G87" s="3">
        <v>807</v>
      </c>
      <c r="H87" s="3">
        <v>10</v>
      </c>
      <c r="I87" s="3">
        <v>17</v>
      </c>
      <c r="J87" s="3">
        <f t="shared" si="0"/>
        <v>13719</v>
      </c>
      <c r="K87" s="4">
        <v>0.23</v>
      </c>
      <c r="L87" s="3">
        <f t="shared" si="1"/>
        <v>13750.5537</v>
      </c>
      <c r="M87" s="3">
        <f t="shared" si="2"/>
        <v>8070</v>
      </c>
    </row>
    <row r="88" spans="1:13" ht="14.25" customHeight="1" x14ac:dyDescent="0.25">
      <c r="A88" s="3">
        <v>87</v>
      </c>
      <c r="B88" s="6">
        <v>44598</v>
      </c>
      <c r="C88" s="3" t="s">
        <v>26</v>
      </c>
      <c r="D88" s="3" t="s">
        <v>25</v>
      </c>
      <c r="E88" s="3" t="s">
        <v>27</v>
      </c>
      <c r="F88" s="3" t="s">
        <v>19</v>
      </c>
      <c r="G88" s="3">
        <v>918</v>
      </c>
      <c r="H88" s="3">
        <v>10</v>
      </c>
      <c r="I88" s="3">
        <v>15</v>
      </c>
      <c r="J88" s="3">
        <f t="shared" si="0"/>
        <v>13770</v>
      </c>
      <c r="K88" s="4">
        <v>0.02</v>
      </c>
      <c r="L88" s="3">
        <f t="shared" si="1"/>
        <v>13772.754000000001</v>
      </c>
      <c r="M88" s="3">
        <f t="shared" si="2"/>
        <v>9180</v>
      </c>
    </row>
    <row r="89" spans="1:13" ht="14.25" customHeight="1" x14ac:dyDescent="0.25">
      <c r="A89" s="3">
        <v>378</v>
      </c>
      <c r="B89" s="6">
        <v>44807</v>
      </c>
      <c r="C89" s="3" t="s">
        <v>26</v>
      </c>
      <c r="D89" s="3" t="s">
        <v>22</v>
      </c>
      <c r="E89" s="3" t="s">
        <v>18</v>
      </c>
      <c r="F89" s="3" t="s">
        <v>16</v>
      </c>
      <c r="G89" s="3">
        <v>2811</v>
      </c>
      <c r="H89" s="3">
        <v>3</v>
      </c>
      <c r="I89" s="3">
        <v>5</v>
      </c>
      <c r="J89" s="3">
        <f t="shared" si="0"/>
        <v>14055</v>
      </c>
      <c r="K89" s="4">
        <v>0.23</v>
      </c>
      <c r="L89" s="3">
        <f t="shared" si="1"/>
        <v>14087.326499999999</v>
      </c>
      <c r="M89" s="3">
        <f t="shared" si="2"/>
        <v>8433</v>
      </c>
    </row>
    <row r="90" spans="1:13" ht="14.25" customHeight="1" x14ac:dyDescent="0.25">
      <c r="A90" s="3">
        <v>90</v>
      </c>
      <c r="B90" s="6">
        <v>45648</v>
      </c>
      <c r="C90" s="3" t="s">
        <v>29</v>
      </c>
      <c r="D90" s="3" t="s">
        <v>20</v>
      </c>
      <c r="E90" s="3" t="s">
        <v>27</v>
      </c>
      <c r="F90" s="3" t="s">
        <v>19</v>
      </c>
      <c r="G90" s="3">
        <v>662</v>
      </c>
      <c r="H90" s="3">
        <v>10</v>
      </c>
      <c r="I90" s="3">
        <v>22</v>
      </c>
      <c r="J90" s="3">
        <f t="shared" si="0"/>
        <v>14564</v>
      </c>
      <c r="K90" s="4">
        <v>7.0000000000000007E-2</v>
      </c>
      <c r="L90" s="3">
        <f t="shared" si="1"/>
        <v>14574.194799999999</v>
      </c>
      <c r="M90" s="3">
        <f t="shared" si="2"/>
        <v>6620</v>
      </c>
    </row>
    <row r="91" spans="1:13" ht="14.25" customHeight="1" x14ac:dyDescent="0.25">
      <c r="A91" s="3">
        <v>210</v>
      </c>
      <c r="B91" s="6">
        <v>45665</v>
      </c>
      <c r="C91" s="3" t="s">
        <v>13</v>
      </c>
      <c r="D91" s="3" t="s">
        <v>22</v>
      </c>
      <c r="E91" s="3" t="s">
        <v>15</v>
      </c>
      <c r="F91" s="3" t="s">
        <v>21</v>
      </c>
      <c r="G91" s="3">
        <v>1460</v>
      </c>
      <c r="H91" s="3">
        <v>5</v>
      </c>
      <c r="I91" s="3">
        <v>10</v>
      </c>
      <c r="J91" s="3">
        <f t="shared" si="0"/>
        <v>14600</v>
      </c>
      <c r="K91" s="4">
        <v>0.16</v>
      </c>
      <c r="L91" s="3">
        <f t="shared" si="1"/>
        <v>14623.36</v>
      </c>
      <c r="M91" s="3">
        <f t="shared" si="2"/>
        <v>7300</v>
      </c>
    </row>
    <row r="92" spans="1:13" ht="14.25" customHeight="1" x14ac:dyDescent="0.25">
      <c r="A92" s="3">
        <v>21</v>
      </c>
      <c r="B92" s="6">
        <v>44270</v>
      </c>
      <c r="C92" s="3" t="s">
        <v>13</v>
      </c>
      <c r="D92" s="3" t="s">
        <v>20</v>
      </c>
      <c r="E92" s="3" t="s">
        <v>27</v>
      </c>
      <c r="F92" s="3" t="s">
        <v>28</v>
      </c>
      <c r="G92" s="3">
        <v>883</v>
      </c>
      <c r="H92" s="3">
        <v>10</v>
      </c>
      <c r="I92" s="3">
        <v>17</v>
      </c>
      <c r="J92" s="3">
        <f t="shared" si="0"/>
        <v>15011</v>
      </c>
      <c r="K92" s="4">
        <v>0</v>
      </c>
      <c r="L92" s="3">
        <f t="shared" si="1"/>
        <v>15011</v>
      </c>
      <c r="M92" s="3">
        <f t="shared" si="2"/>
        <v>8830</v>
      </c>
    </row>
    <row r="93" spans="1:13" ht="14.25" customHeight="1" x14ac:dyDescent="0.25">
      <c r="A93" s="3">
        <v>523</v>
      </c>
      <c r="B93" s="6">
        <v>45428</v>
      </c>
      <c r="C93" s="3" t="s">
        <v>13</v>
      </c>
      <c r="D93" s="3" t="s">
        <v>20</v>
      </c>
      <c r="E93" s="3" t="s">
        <v>15</v>
      </c>
      <c r="F93" s="3" t="s">
        <v>16</v>
      </c>
      <c r="G93" s="3">
        <v>1368</v>
      </c>
      <c r="H93" s="3">
        <v>5</v>
      </c>
      <c r="I93" s="3">
        <v>11</v>
      </c>
      <c r="J93" s="3">
        <f t="shared" si="0"/>
        <v>15048</v>
      </c>
      <c r="K93" s="4">
        <v>0.25</v>
      </c>
      <c r="L93" s="3">
        <f t="shared" si="1"/>
        <v>15085.62</v>
      </c>
      <c r="M93" s="3">
        <f t="shared" si="2"/>
        <v>6840</v>
      </c>
    </row>
    <row r="94" spans="1:13" ht="14.25" customHeight="1" x14ac:dyDescent="0.25">
      <c r="A94" s="3">
        <v>57</v>
      </c>
      <c r="B94" s="6">
        <v>45190</v>
      </c>
      <c r="C94" s="3" t="s">
        <v>13</v>
      </c>
      <c r="D94" s="3" t="s">
        <v>25</v>
      </c>
      <c r="E94" s="3" t="s">
        <v>18</v>
      </c>
      <c r="F94" s="3" t="s">
        <v>19</v>
      </c>
      <c r="G94" s="3">
        <v>2155</v>
      </c>
      <c r="H94" s="3">
        <v>3</v>
      </c>
      <c r="I94" s="3">
        <v>7</v>
      </c>
      <c r="J94" s="3">
        <f t="shared" si="0"/>
        <v>15085</v>
      </c>
      <c r="K94" s="4">
        <v>0.08</v>
      </c>
      <c r="L94" s="3">
        <f t="shared" si="1"/>
        <v>15097.067999999999</v>
      </c>
      <c r="M94" s="3">
        <f t="shared" si="2"/>
        <v>6465</v>
      </c>
    </row>
    <row r="95" spans="1:13" ht="14.25" customHeight="1" x14ac:dyDescent="0.25">
      <c r="A95" s="3">
        <v>115</v>
      </c>
      <c r="B95" s="6">
        <v>44327</v>
      </c>
      <c r="C95" s="3" t="s">
        <v>23</v>
      </c>
      <c r="D95" s="3" t="s">
        <v>25</v>
      </c>
      <c r="E95" s="3" t="s">
        <v>15</v>
      </c>
      <c r="F95" s="3" t="s">
        <v>19</v>
      </c>
      <c r="G95" s="3">
        <v>1901</v>
      </c>
      <c r="H95" s="3">
        <v>5</v>
      </c>
      <c r="I95" s="3">
        <v>8</v>
      </c>
      <c r="J95" s="3">
        <f t="shared" si="0"/>
        <v>15208</v>
      </c>
      <c r="K95" s="4">
        <v>0.01</v>
      </c>
      <c r="L95" s="3">
        <f t="shared" si="1"/>
        <v>15209.5208</v>
      </c>
      <c r="M95" s="3">
        <f t="shared" si="2"/>
        <v>9505</v>
      </c>
    </row>
    <row r="96" spans="1:13" ht="14.25" customHeight="1" x14ac:dyDescent="0.25">
      <c r="A96" s="3">
        <v>64</v>
      </c>
      <c r="B96" s="6">
        <v>44872</v>
      </c>
      <c r="C96" s="3" t="s">
        <v>29</v>
      </c>
      <c r="D96" s="3" t="s">
        <v>17</v>
      </c>
      <c r="E96" s="3" t="s">
        <v>27</v>
      </c>
      <c r="F96" s="3" t="s">
        <v>19</v>
      </c>
      <c r="G96" s="3">
        <v>727</v>
      </c>
      <c r="H96" s="3">
        <v>10</v>
      </c>
      <c r="I96" s="3">
        <v>21</v>
      </c>
      <c r="J96" s="3">
        <f t="shared" si="0"/>
        <v>15267</v>
      </c>
      <c r="K96" s="4">
        <v>0.03</v>
      </c>
      <c r="L96" s="3">
        <f t="shared" si="1"/>
        <v>15271.580099999999</v>
      </c>
      <c r="M96" s="3">
        <f t="shared" si="2"/>
        <v>7270</v>
      </c>
    </row>
    <row r="97" spans="1:13" ht="14.25" customHeight="1" x14ac:dyDescent="0.25">
      <c r="A97" s="3">
        <v>462</v>
      </c>
      <c r="B97" s="6">
        <v>45198</v>
      </c>
      <c r="C97" s="3" t="s">
        <v>13</v>
      </c>
      <c r="D97" s="3" t="s">
        <v>20</v>
      </c>
      <c r="E97" s="3" t="s">
        <v>18</v>
      </c>
      <c r="F97" s="3" t="s">
        <v>16</v>
      </c>
      <c r="G97" s="3">
        <v>2579</v>
      </c>
      <c r="H97" s="3">
        <v>3</v>
      </c>
      <c r="I97" s="3">
        <v>6</v>
      </c>
      <c r="J97" s="3">
        <f t="shared" si="0"/>
        <v>15474</v>
      </c>
      <c r="K97" s="4">
        <v>0.25</v>
      </c>
      <c r="L97" s="3">
        <f t="shared" si="1"/>
        <v>15512.684999999999</v>
      </c>
      <c r="M97" s="3">
        <f t="shared" si="2"/>
        <v>7737</v>
      </c>
    </row>
    <row r="98" spans="1:13" ht="14.25" customHeight="1" x14ac:dyDescent="0.25">
      <c r="A98" s="3">
        <v>113</v>
      </c>
      <c r="B98" s="6">
        <v>44774</v>
      </c>
      <c r="C98" s="3" t="s">
        <v>23</v>
      </c>
      <c r="D98" s="3" t="s">
        <v>17</v>
      </c>
      <c r="E98" s="3" t="s">
        <v>18</v>
      </c>
      <c r="F98" s="3" t="s">
        <v>19</v>
      </c>
      <c r="G98" s="3">
        <v>1947</v>
      </c>
      <c r="H98" s="3">
        <v>3</v>
      </c>
      <c r="I98" s="3">
        <v>8</v>
      </c>
      <c r="J98" s="3">
        <f t="shared" si="0"/>
        <v>15576</v>
      </c>
      <c r="K98" s="4">
        <v>0.09</v>
      </c>
      <c r="L98" s="3">
        <f t="shared" si="1"/>
        <v>15590.018400000001</v>
      </c>
      <c r="M98" s="3">
        <f t="shared" si="2"/>
        <v>5841</v>
      </c>
    </row>
    <row r="99" spans="1:13" ht="14.25" customHeight="1" x14ac:dyDescent="0.25">
      <c r="A99" s="3">
        <v>478</v>
      </c>
      <c r="B99" s="6">
        <v>44926</v>
      </c>
      <c r="C99" s="3" t="s">
        <v>13</v>
      </c>
      <c r="D99" s="3" t="s">
        <v>22</v>
      </c>
      <c r="E99" s="3" t="s">
        <v>15</v>
      </c>
      <c r="F99" s="3" t="s">
        <v>16</v>
      </c>
      <c r="G99" s="3">
        <v>1199</v>
      </c>
      <c r="H99" s="3">
        <v>5</v>
      </c>
      <c r="I99" s="3">
        <v>13</v>
      </c>
      <c r="J99" s="3">
        <f t="shared" si="0"/>
        <v>15587</v>
      </c>
      <c r="K99" s="4">
        <v>0.22</v>
      </c>
      <c r="L99" s="3">
        <f t="shared" si="1"/>
        <v>15621.2914</v>
      </c>
      <c r="M99" s="3">
        <f t="shared" si="2"/>
        <v>5995</v>
      </c>
    </row>
    <row r="100" spans="1:13" ht="14.25" customHeight="1" x14ac:dyDescent="0.25">
      <c r="A100" s="3">
        <v>239</v>
      </c>
      <c r="B100" s="6">
        <v>45856</v>
      </c>
      <c r="C100" s="3" t="s">
        <v>13</v>
      </c>
      <c r="D100" s="3" t="s">
        <v>17</v>
      </c>
      <c r="E100" s="3" t="s">
        <v>18</v>
      </c>
      <c r="F100" s="3" t="s">
        <v>21</v>
      </c>
      <c r="G100" s="3">
        <v>1761</v>
      </c>
      <c r="H100" s="3">
        <v>3</v>
      </c>
      <c r="I100" s="3">
        <v>9</v>
      </c>
      <c r="J100" s="3">
        <f t="shared" si="0"/>
        <v>15849</v>
      </c>
      <c r="K100" s="4">
        <v>0.19</v>
      </c>
      <c r="L100" s="3">
        <f t="shared" si="1"/>
        <v>15879.1131</v>
      </c>
      <c r="M100" s="3">
        <f t="shared" si="2"/>
        <v>5283</v>
      </c>
    </row>
    <row r="101" spans="1:13" ht="14.25" customHeight="1" x14ac:dyDescent="0.25">
      <c r="A101" s="3">
        <v>524</v>
      </c>
      <c r="B101" s="6">
        <v>44962</v>
      </c>
      <c r="C101" s="3" t="s">
        <v>13</v>
      </c>
      <c r="D101" s="3" t="s">
        <v>14</v>
      </c>
      <c r="E101" s="3" t="s">
        <v>27</v>
      </c>
      <c r="F101" s="3" t="s">
        <v>16</v>
      </c>
      <c r="G101" s="3">
        <v>723</v>
      </c>
      <c r="H101" s="3">
        <v>10</v>
      </c>
      <c r="I101" s="3">
        <v>22</v>
      </c>
      <c r="J101" s="3">
        <f t="shared" si="0"/>
        <v>15906</v>
      </c>
      <c r="K101" s="4">
        <v>0.23</v>
      </c>
      <c r="L101" s="3">
        <f t="shared" si="1"/>
        <v>15942.5838</v>
      </c>
      <c r="M101" s="3">
        <f t="shared" si="2"/>
        <v>7230</v>
      </c>
    </row>
    <row r="102" spans="1:13" ht="14.25" customHeight="1" x14ac:dyDescent="0.25">
      <c r="A102" s="3">
        <v>144</v>
      </c>
      <c r="B102" s="6">
        <v>45531</v>
      </c>
      <c r="C102" s="3" t="s">
        <v>29</v>
      </c>
      <c r="D102" s="3" t="s">
        <v>20</v>
      </c>
      <c r="E102" s="3" t="s">
        <v>15</v>
      </c>
      <c r="F102" s="3" t="s">
        <v>19</v>
      </c>
      <c r="G102" s="3">
        <v>1138</v>
      </c>
      <c r="H102" s="3">
        <v>5</v>
      </c>
      <c r="I102" s="3">
        <v>14</v>
      </c>
      <c r="J102" s="3">
        <f t="shared" si="0"/>
        <v>15932</v>
      </c>
      <c r="K102" s="4">
        <v>0.08</v>
      </c>
      <c r="L102" s="3">
        <f t="shared" si="1"/>
        <v>15944.7456</v>
      </c>
      <c r="M102" s="3">
        <f t="shared" si="2"/>
        <v>5690</v>
      </c>
    </row>
    <row r="103" spans="1:13" ht="14.25" customHeight="1" x14ac:dyDescent="0.25">
      <c r="A103" s="3">
        <v>400</v>
      </c>
      <c r="B103" s="6">
        <v>45280</v>
      </c>
      <c r="C103" s="3" t="s">
        <v>24</v>
      </c>
      <c r="D103" s="3" t="s">
        <v>14</v>
      </c>
      <c r="E103" s="3" t="s">
        <v>18</v>
      </c>
      <c r="F103" s="3" t="s">
        <v>16</v>
      </c>
      <c r="G103" s="3">
        <v>2689</v>
      </c>
      <c r="H103" s="3">
        <v>3</v>
      </c>
      <c r="I103" s="3">
        <v>6</v>
      </c>
      <c r="J103" s="3">
        <f t="shared" si="0"/>
        <v>16134</v>
      </c>
      <c r="K103" s="4">
        <v>0.21</v>
      </c>
      <c r="L103" s="3">
        <f t="shared" si="1"/>
        <v>16167.8814</v>
      </c>
      <c r="M103" s="3">
        <f t="shared" si="2"/>
        <v>8067</v>
      </c>
    </row>
    <row r="104" spans="1:13" ht="14.25" customHeight="1" x14ac:dyDescent="0.25">
      <c r="A104" s="3">
        <v>508</v>
      </c>
      <c r="B104" s="6">
        <v>46005</v>
      </c>
      <c r="C104" s="3" t="s">
        <v>29</v>
      </c>
      <c r="D104" s="3" t="s">
        <v>22</v>
      </c>
      <c r="E104" s="3" t="s">
        <v>27</v>
      </c>
      <c r="F104" s="3" t="s">
        <v>16</v>
      </c>
      <c r="G104" s="3">
        <v>1085</v>
      </c>
      <c r="H104" s="3">
        <v>10</v>
      </c>
      <c r="I104" s="3">
        <v>15</v>
      </c>
      <c r="J104" s="3">
        <f t="shared" si="0"/>
        <v>16275</v>
      </c>
      <c r="K104" s="4">
        <v>0.25</v>
      </c>
      <c r="L104" s="3">
        <f t="shared" si="1"/>
        <v>16315.6875</v>
      </c>
      <c r="M104" s="3">
        <f t="shared" si="2"/>
        <v>10850</v>
      </c>
    </row>
    <row r="105" spans="1:13" ht="14.25" customHeight="1" x14ac:dyDescent="0.25">
      <c r="A105" s="3">
        <v>510</v>
      </c>
      <c r="B105" s="6">
        <v>44579</v>
      </c>
      <c r="C105" s="3" t="s">
        <v>23</v>
      </c>
      <c r="D105" s="3" t="s">
        <v>17</v>
      </c>
      <c r="E105" s="3" t="s">
        <v>27</v>
      </c>
      <c r="F105" s="3" t="s">
        <v>16</v>
      </c>
      <c r="G105" s="3">
        <v>914</v>
      </c>
      <c r="H105" s="3">
        <v>10</v>
      </c>
      <c r="I105" s="3">
        <v>18</v>
      </c>
      <c r="J105" s="3">
        <f t="shared" si="0"/>
        <v>16452</v>
      </c>
      <c r="K105" s="4">
        <v>0.21</v>
      </c>
      <c r="L105" s="3">
        <f t="shared" si="1"/>
        <v>16486.549200000001</v>
      </c>
      <c r="M105" s="3">
        <f t="shared" si="2"/>
        <v>9140</v>
      </c>
    </row>
    <row r="106" spans="1:13" ht="14.25" customHeight="1" x14ac:dyDescent="0.25">
      <c r="A106" s="3">
        <v>60</v>
      </c>
      <c r="B106" s="6">
        <v>44444</v>
      </c>
      <c r="C106" s="3" t="s">
        <v>13</v>
      </c>
      <c r="D106" s="3" t="s">
        <v>25</v>
      </c>
      <c r="E106" s="3" t="s">
        <v>15</v>
      </c>
      <c r="F106" s="3" t="s">
        <v>19</v>
      </c>
      <c r="G106" s="3">
        <v>1375.5</v>
      </c>
      <c r="H106" s="3">
        <v>5</v>
      </c>
      <c r="I106" s="3">
        <v>12</v>
      </c>
      <c r="J106" s="3">
        <f t="shared" si="0"/>
        <v>16506</v>
      </c>
      <c r="K106" s="4">
        <v>0.09</v>
      </c>
      <c r="L106" s="3">
        <f t="shared" si="1"/>
        <v>16520.8554</v>
      </c>
      <c r="M106" s="3">
        <f t="shared" si="2"/>
        <v>6877.5</v>
      </c>
    </row>
    <row r="107" spans="1:13" ht="14.25" customHeight="1" x14ac:dyDescent="0.25">
      <c r="A107" s="3">
        <v>146</v>
      </c>
      <c r="B107" s="6">
        <v>44381</v>
      </c>
      <c r="C107" s="3" t="s">
        <v>29</v>
      </c>
      <c r="D107" s="3" t="s">
        <v>22</v>
      </c>
      <c r="E107" s="3" t="s">
        <v>27</v>
      </c>
      <c r="F107" s="3" t="s">
        <v>19</v>
      </c>
      <c r="G107" s="3">
        <v>795</v>
      </c>
      <c r="H107" s="3">
        <v>10</v>
      </c>
      <c r="I107" s="3">
        <v>21</v>
      </c>
      <c r="J107" s="3">
        <f t="shared" si="0"/>
        <v>16695</v>
      </c>
      <c r="K107" s="4">
        <v>0.03</v>
      </c>
      <c r="L107" s="3">
        <f t="shared" si="1"/>
        <v>16700.0085</v>
      </c>
      <c r="M107" s="3">
        <f t="shared" si="2"/>
        <v>7950</v>
      </c>
    </row>
    <row r="108" spans="1:13" ht="14.25" customHeight="1" x14ac:dyDescent="0.25">
      <c r="A108" s="3">
        <v>51</v>
      </c>
      <c r="B108" s="6">
        <v>45933</v>
      </c>
      <c r="C108" s="3" t="s">
        <v>23</v>
      </c>
      <c r="D108" s="3" t="s">
        <v>17</v>
      </c>
      <c r="E108" s="3" t="s">
        <v>18</v>
      </c>
      <c r="F108" s="3" t="s">
        <v>19</v>
      </c>
      <c r="G108" s="3">
        <v>1858</v>
      </c>
      <c r="H108" s="3">
        <v>3</v>
      </c>
      <c r="I108" s="3">
        <v>9</v>
      </c>
      <c r="J108" s="3">
        <f t="shared" si="0"/>
        <v>16722</v>
      </c>
      <c r="K108" s="4">
        <v>0.01</v>
      </c>
      <c r="L108" s="3">
        <f t="shared" si="1"/>
        <v>16723.672200000001</v>
      </c>
      <c r="M108" s="3">
        <f t="shared" si="2"/>
        <v>5574</v>
      </c>
    </row>
    <row r="109" spans="1:13" ht="14.25" customHeight="1" x14ac:dyDescent="0.25">
      <c r="A109" s="3">
        <v>185</v>
      </c>
      <c r="B109" s="6">
        <v>44379</v>
      </c>
      <c r="C109" s="3" t="s">
        <v>26</v>
      </c>
      <c r="D109" s="3" t="s">
        <v>17</v>
      </c>
      <c r="E109" s="3" t="s">
        <v>27</v>
      </c>
      <c r="F109" s="3" t="s">
        <v>21</v>
      </c>
      <c r="G109" s="3">
        <v>991</v>
      </c>
      <c r="H109" s="3">
        <v>10</v>
      </c>
      <c r="I109" s="3">
        <v>17</v>
      </c>
      <c r="J109" s="3">
        <f t="shared" si="0"/>
        <v>16847</v>
      </c>
      <c r="K109" s="4">
        <v>0.18</v>
      </c>
      <c r="L109" s="3">
        <f t="shared" si="1"/>
        <v>16877.3246</v>
      </c>
      <c r="M109" s="3">
        <f t="shared" si="2"/>
        <v>9910</v>
      </c>
    </row>
    <row r="110" spans="1:13" ht="14.25" customHeight="1" x14ac:dyDescent="0.25">
      <c r="A110" s="3">
        <v>95</v>
      </c>
      <c r="B110" s="6">
        <v>45973</v>
      </c>
      <c r="C110" s="3" t="s">
        <v>23</v>
      </c>
      <c r="D110" s="3" t="s">
        <v>25</v>
      </c>
      <c r="E110" s="3" t="s">
        <v>27</v>
      </c>
      <c r="F110" s="3" t="s">
        <v>19</v>
      </c>
      <c r="G110" s="3">
        <v>1055</v>
      </c>
      <c r="H110" s="3">
        <v>10</v>
      </c>
      <c r="I110" s="3">
        <v>16</v>
      </c>
      <c r="J110" s="3">
        <f t="shared" si="0"/>
        <v>16880</v>
      </c>
      <c r="K110" s="4">
        <v>0.01</v>
      </c>
      <c r="L110" s="3">
        <f t="shared" si="1"/>
        <v>16881.687999999998</v>
      </c>
      <c r="M110" s="3">
        <f t="shared" si="2"/>
        <v>10550</v>
      </c>
    </row>
    <row r="111" spans="1:13" ht="14.25" customHeight="1" x14ac:dyDescent="0.25">
      <c r="A111" s="3">
        <v>435</v>
      </c>
      <c r="B111" s="6">
        <v>45515</v>
      </c>
      <c r="C111" s="3" t="s">
        <v>13</v>
      </c>
      <c r="D111" s="3" t="s">
        <v>17</v>
      </c>
      <c r="E111" s="3" t="s">
        <v>15</v>
      </c>
      <c r="F111" s="3" t="s">
        <v>16</v>
      </c>
      <c r="G111" s="3">
        <v>1298</v>
      </c>
      <c r="H111" s="3">
        <v>5</v>
      </c>
      <c r="I111" s="3">
        <v>13</v>
      </c>
      <c r="J111" s="3">
        <f t="shared" si="0"/>
        <v>16874</v>
      </c>
      <c r="K111" s="4">
        <v>0.21</v>
      </c>
      <c r="L111" s="3">
        <f t="shared" si="1"/>
        <v>16909.435399999998</v>
      </c>
      <c r="M111" s="3">
        <f t="shared" si="2"/>
        <v>6490</v>
      </c>
    </row>
    <row r="112" spans="1:13" ht="14.25" customHeight="1" x14ac:dyDescent="0.25">
      <c r="A112" s="3">
        <v>379</v>
      </c>
      <c r="B112" s="6">
        <v>44883</v>
      </c>
      <c r="C112" s="3" t="s">
        <v>29</v>
      </c>
      <c r="D112" s="3" t="s">
        <v>25</v>
      </c>
      <c r="E112" s="3" t="s">
        <v>18</v>
      </c>
      <c r="F112" s="3" t="s">
        <v>16</v>
      </c>
      <c r="G112" s="3">
        <v>2441</v>
      </c>
      <c r="H112" s="3">
        <v>3</v>
      </c>
      <c r="I112" s="3">
        <v>7</v>
      </c>
      <c r="J112" s="3">
        <f t="shared" si="0"/>
        <v>17087</v>
      </c>
      <c r="K112" s="4">
        <v>0.22</v>
      </c>
      <c r="L112" s="3">
        <f t="shared" si="1"/>
        <v>17124.591400000001</v>
      </c>
      <c r="M112" s="3">
        <f t="shared" si="2"/>
        <v>7323</v>
      </c>
    </row>
    <row r="113" spans="1:13" ht="14.25" customHeight="1" x14ac:dyDescent="0.25">
      <c r="A113" s="3">
        <v>84</v>
      </c>
      <c r="B113" s="6">
        <v>45510</v>
      </c>
      <c r="C113" s="3" t="s">
        <v>13</v>
      </c>
      <c r="D113" s="3" t="s">
        <v>17</v>
      </c>
      <c r="E113" s="3" t="s">
        <v>15</v>
      </c>
      <c r="F113" s="3" t="s">
        <v>19</v>
      </c>
      <c r="G113" s="3">
        <v>1566</v>
      </c>
      <c r="H113" s="3">
        <v>5</v>
      </c>
      <c r="I113" s="3">
        <v>11</v>
      </c>
      <c r="J113" s="3">
        <f t="shared" si="0"/>
        <v>17226</v>
      </c>
      <c r="K113" s="4">
        <v>7.0000000000000007E-2</v>
      </c>
      <c r="L113" s="3">
        <f t="shared" si="1"/>
        <v>17238.058199999999</v>
      </c>
      <c r="M113" s="3">
        <f t="shared" si="2"/>
        <v>7830</v>
      </c>
    </row>
    <row r="114" spans="1:13" ht="14.25" customHeight="1" x14ac:dyDescent="0.25">
      <c r="A114" s="3">
        <v>122</v>
      </c>
      <c r="B114" s="6">
        <v>45727</v>
      </c>
      <c r="C114" s="3" t="s">
        <v>26</v>
      </c>
      <c r="D114" s="3" t="s">
        <v>22</v>
      </c>
      <c r="E114" s="3" t="s">
        <v>27</v>
      </c>
      <c r="F114" s="3" t="s">
        <v>19</v>
      </c>
      <c r="G114" s="3">
        <v>689</v>
      </c>
      <c r="H114" s="3">
        <v>10</v>
      </c>
      <c r="I114" s="3">
        <v>25</v>
      </c>
      <c r="J114" s="3">
        <f t="shared" si="0"/>
        <v>17225</v>
      </c>
      <c r="K114" s="4">
        <v>0.08</v>
      </c>
      <c r="L114" s="3">
        <f t="shared" si="1"/>
        <v>17238.78</v>
      </c>
      <c r="M114" s="3">
        <f t="shared" si="2"/>
        <v>6890</v>
      </c>
    </row>
    <row r="115" spans="1:13" ht="14.25" customHeight="1" x14ac:dyDescent="0.25">
      <c r="A115" s="3">
        <v>463</v>
      </c>
      <c r="B115" s="6">
        <v>45633</v>
      </c>
      <c r="C115" s="3" t="s">
        <v>13</v>
      </c>
      <c r="D115" s="3" t="s">
        <v>17</v>
      </c>
      <c r="E115" s="3" t="s">
        <v>18</v>
      </c>
      <c r="F115" s="3" t="s">
        <v>16</v>
      </c>
      <c r="G115" s="3">
        <v>1743</v>
      </c>
      <c r="H115" s="3">
        <v>3</v>
      </c>
      <c r="I115" s="3">
        <v>10</v>
      </c>
      <c r="J115" s="3">
        <f t="shared" si="0"/>
        <v>17430</v>
      </c>
      <c r="K115" s="4">
        <v>0.25</v>
      </c>
      <c r="L115" s="3">
        <f t="shared" si="1"/>
        <v>17473.575000000001</v>
      </c>
      <c r="M115" s="3">
        <f t="shared" si="2"/>
        <v>5229</v>
      </c>
    </row>
    <row r="116" spans="1:13" ht="14.25" customHeight="1" x14ac:dyDescent="0.25">
      <c r="A116" s="3">
        <v>425</v>
      </c>
      <c r="B116" s="6">
        <v>45077</v>
      </c>
      <c r="C116" s="3" t="s">
        <v>13</v>
      </c>
      <c r="D116" s="3" t="s">
        <v>25</v>
      </c>
      <c r="E116" s="3" t="s">
        <v>18</v>
      </c>
      <c r="F116" s="3" t="s">
        <v>16</v>
      </c>
      <c r="G116" s="3">
        <v>2521.5</v>
      </c>
      <c r="H116" s="3">
        <v>3</v>
      </c>
      <c r="I116" s="3">
        <v>7</v>
      </c>
      <c r="J116" s="3">
        <f t="shared" si="0"/>
        <v>17650.5</v>
      </c>
      <c r="K116" s="4">
        <v>0.2</v>
      </c>
      <c r="L116" s="3">
        <f t="shared" si="1"/>
        <v>17685.800999999999</v>
      </c>
      <c r="M116" s="3">
        <f t="shared" si="2"/>
        <v>7564.5</v>
      </c>
    </row>
    <row r="117" spans="1:13" ht="14.25" customHeight="1" x14ac:dyDescent="0.25">
      <c r="A117" s="3">
        <v>53</v>
      </c>
      <c r="B117" s="6">
        <v>44346</v>
      </c>
      <c r="C117" s="3" t="s">
        <v>13</v>
      </c>
      <c r="D117" s="3" t="s">
        <v>17</v>
      </c>
      <c r="E117" s="3" t="s">
        <v>18</v>
      </c>
      <c r="F117" s="3" t="s">
        <v>19</v>
      </c>
      <c r="G117" s="3">
        <v>2529</v>
      </c>
      <c r="H117" s="3">
        <v>3</v>
      </c>
      <c r="I117" s="3">
        <v>7</v>
      </c>
      <c r="J117" s="3">
        <f t="shared" si="0"/>
        <v>17703</v>
      </c>
      <c r="K117" s="4">
        <v>0.05</v>
      </c>
      <c r="L117" s="3">
        <f t="shared" si="1"/>
        <v>17711.851500000001</v>
      </c>
      <c r="M117" s="3">
        <f t="shared" si="2"/>
        <v>7587</v>
      </c>
    </row>
    <row r="118" spans="1:13" ht="14.25" customHeight="1" x14ac:dyDescent="0.25">
      <c r="A118" s="3">
        <v>433</v>
      </c>
      <c r="B118" s="6">
        <v>44569</v>
      </c>
      <c r="C118" s="3" t="s">
        <v>13</v>
      </c>
      <c r="D118" s="3" t="s">
        <v>25</v>
      </c>
      <c r="E118" s="3" t="s">
        <v>18</v>
      </c>
      <c r="F118" s="3" t="s">
        <v>16</v>
      </c>
      <c r="G118" s="3">
        <v>1790</v>
      </c>
      <c r="H118" s="3">
        <v>3</v>
      </c>
      <c r="I118" s="3">
        <v>10</v>
      </c>
      <c r="J118" s="3">
        <f t="shared" si="0"/>
        <v>17900</v>
      </c>
      <c r="K118" s="4">
        <v>0.24</v>
      </c>
      <c r="L118" s="3">
        <f t="shared" si="1"/>
        <v>17942.96</v>
      </c>
      <c r="M118" s="3">
        <f t="shared" si="2"/>
        <v>5370</v>
      </c>
    </row>
    <row r="119" spans="1:13" ht="14.25" customHeight="1" x14ac:dyDescent="0.25">
      <c r="A119" s="3">
        <v>177</v>
      </c>
      <c r="B119" s="6">
        <v>44478</v>
      </c>
      <c r="C119" s="3" t="s">
        <v>13</v>
      </c>
      <c r="D119" s="3" t="s">
        <v>25</v>
      </c>
      <c r="E119" s="3" t="s">
        <v>15</v>
      </c>
      <c r="F119" s="3" t="s">
        <v>21</v>
      </c>
      <c r="G119" s="3">
        <v>1384.5</v>
      </c>
      <c r="H119" s="3">
        <v>5</v>
      </c>
      <c r="I119" s="3">
        <v>13</v>
      </c>
      <c r="J119" s="3">
        <f t="shared" si="0"/>
        <v>17998.5</v>
      </c>
      <c r="K119" s="4">
        <v>0.14000000000000001</v>
      </c>
      <c r="L119" s="3">
        <f t="shared" si="1"/>
        <v>18023.697899999999</v>
      </c>
      <c r="M119" s="3">
        <f t="shared" si="2"/>
        <v>6922.5</v>
      </c>
    </row>
    <row r="120" spans="1:13" ht="14.25" customHeight="1" x14ac:dyDescent="0.25">
      <c r="A120" s="3">
        <v>139</v>
      </c>
      <c r="B120" s="6">
        <v>45338</v>
      </c>
      <c r="C120" s="3" t="s">
        <v>26</v>
      </c>
      <c r="D120" s="3" t="s">
        <v>22</v>
      </c>
      <c r="E120" s="3" t="s">
        <v>18</v>
      </c>
      <c r="F120" s="3" t="s">
        <v>19</v>
      </c>
      <c r="G120" s="3">
        <v>2021</v>
      </c>
      <c r="H120" s="3">
        <v>3</v>
      </c>
      <c r="I120" s="3">
        <v>9</v>
      </c>
      <c r="J120" s="3">
        <f t="shared" si="0"/>
        <v>18189</v>
      </c>
      <c r="K120" s="4">
        <v>0.09</v>
      </c>
      <c r="L120" s="3">
        <f t="shared" si="1"/>
        <v>18205.3701</v>
      </c>
      <c r="M120" s="3">
        <f t="shared" si="2"/>
        <v>6063</v>
      </c>
    </row>
    <row r="121" spans="1:13" ht="14.25" customHeight="1" x14ac:dyDescent="0.25">
      <c r="A121" s="3">
        <v>208</v>
      </c>
      <c r="B121" s="6">
        <v>44520</v>
      </c>
      <c r="C121" s="3" t="s">
        <v>24</v>
      </c>
      <c r="D121" s="3" t="s">
        <v>17</v>
      </c>
      <c r="E121" s="3" t="s">
        <v>18</v>
      </c>
      <c r="F121" s="3" t="s">
        <v>21</v>
      </c>
      <c r="G121" s="3">
        <v>2030</v>
      </c>
      <c r="H121" s="3">
        <v>3</v>
      </c>
      <c r="I121" s="3">
        <v>9</v>
      </c>
      <c r="J121" s="3">
        <f t="shared" si="0"/>
        <v>18270</v>
      </c>
      <c r="K121" s="4">
        <v>0.19</v>
      </c>
      <c r="L121" s="3">
        <f t="shared" si="1"/>
        <v>18304.713</v>
      </c>
      <c r="M121" s="3">
        <f t="shared" si="2"/>
        <v>6090</v>
      </c>
    </row>
    <row r="122" spans="1:13" ht="14.25" customHeight="1" x14ac:dyDescent="0.25">
      <c r="A122" s="3">
        <v>59</v>
      </c>
      <c r="B122" s="6">
        <v>44580</v>
      </c>
      <c r="C122" s="3" t="s">
        <v>26</v>
      </c>
      <c r="D122" s="3" t="s">
        <v>17</v>
      </c>
      <c r="E122" s="3" t="s">
        <v>15</v>
      </c>
      <c r="F122" s="3" t="s">
        <v>19</v>
      </c>
      <c r="G122" s="3">
        <v>2301</v>
      </c>
      <c r="H122" s="3">
        <v>5</v>
      </c>
      <c r="I122" s="3">
        <v>8</v>
      </c>
      <c r="J122" s="3">
        <f t="shared" si="0"/>
        <v>18408</v>
      </c>
      <c r="K122" s="4">
        <v>0.01</v>
      </c>
      <c r="L122" s="3">
        <f t="shared" si="1"/>
        <v>18409.840800000002</v>
      </c>
      <c r="M122" s="3">
        <f t="shared" si="2"/>
        <v>11505</v>
      </c>
    </row>
    <row r="123" spans="1:13" ht="14.25" customHeight="1" x14ac:dyDescent="0.25">
      <c r="A123" s="3">
        <v>476</v>
      </c>
      <c r="B123" s="6">
        <v>44765</v>
      </c>
      <c r="C123" s="3" t="s">
        <v>24</v>
      </c>
      <c r="D123" s="3" t="s">
        <v>14</v>
      </c>
      <c r="E123" s="3" t="s">
        <v>18</v>
      </c>
      <c r="F123" s="3" t="s">
        <v>16</v>
      </c>
      <c r="G123" s="3">
        <v>2300</v>
      </c>
      <c r="H123" s="3">
        <v>3</v>
      </c>
      <c r="I123" s="3">
        <v>8</v>
      </c>
      <c r="J123" s="3">
        <f t="shared" si="0"/>
        <v>18400</v>
      </c>
      <c r="K123" s="4">
        <v>0.24</v>
      </c>
      <c r="L123" s="3">
        <f t="shared" si="1"/>
        <v>18444.16</v>
      </c>
      <c r="M123" s="3">
        <f t="shared" si="2"/>
        <v>6900</v>
      </c>
    </row>
    <row r="124" spans="1:13" ht="14.25" customHeight="1" x14ac:dyDescent="0.25">
      <c r="A124" s="3">
        <v>332</v>
      </c>
      <c r="B124" s="6">
        <v>45348</v>
      </c>
      <c r="C124" s="3" t="s">
        <v>13</v>
      </c>
      <c r="D124" s="3" t="s">
        <v>17</v>
      </c>
      <c r="E124" s="3" t="s">
        <v>27</v>
      </c>
      <c r="F124" s="3" t="s">
        <v>21</v>
      </c>
      <c r="G124" s="3">
        <v>973</v>
      </c>
      <c r="H124" s="3">
        <v>10</v>
      </c>
      <c r="I124" s="3">
        <v>19</v>
      </c>
      <c r="J124" s="3">
        <f t="shared" si="0"/>
        <v>18487</v>
      </c>
      <c r="K124" s="4">
        <v>0.14000000000000001</v>
      </c>
      <c r="L124" s="3">
        <f t="shared" si="1"/>
        <v>18512.881799999999</v>
      </c>
      <c r="M124" s="3">
        <f t="shared" si="2"/>
        <v>9730</v>
      </c>
    </row>
    <row r="125" spans="1:13" ht="14.25" customHeight="1" x14ac:dyDescent="0.25">
      <c r="A125" s="3">
        <v>10</v>
      </c>
      <c r="B125" s="6">
        <v>44609</v>
      </c>
      <c r="C125" s="3" t="s">
        <v>23</v>
      </c>
      <c r="D125" s="3" t="s">
        <v>22</v>
      </c>
      <c r="E125" s="3" t="s">
        <v>15</v>
      </c>
      <c r="F125" s="3" t="s">
        <v>28</v>
      </c>
      <c r="G125" s="3">
        <v>1545</v>
      </c>
      <c r="H125" s="3">
        <v>5</v>
      </c>
      <c r="I125" s="3">
        <v>12</v>
      </c>
      <c r="J125" s="3">
        <f t="shared" si="0"/>
        <v>18540</v>
      </c>
      <c r="K125" s="4">
        <v>0</v>
      </c>
      <c r="L125" s="3">
        <f t="shared" si="1"/>
        <v>18540</v>
      </c>
      <c r="M125" s="3">
        <f t="shared" si="2"/>
        <v>7725</v>
      </c>
    </row>
    <row r="126" spans="1:13" ht="14.25" customHeight="1" x14ac:dyDescent="0.25">
      <c r="A126" s="3">
        <v>344</v>
      </c>
      <c r="B126" s="6">
        <v>45691</v>
      </c>
      <c r="C126" s="3" t="s">
        <v>24</v>
      </c>
      <c r="D126" s="3" t="s">
        <v>25</v>
      </c>
      <c r="E126" s="3" t="s">
        <v>15</v>
      </c>
      <c r="F126" s="3" t="s">
        <v>16</v>
      </c>
      <c r="G126" s="3">
        <v>2072</v>
      </c>
      <c r="H126" s="3">
        <v>5</v>
      </c>
      <c r="I126" s="3">
        <v>9</v>
      </c>
      <c r="J126" s="3">
        <f t="shared" si="0"/>
        <v>18648</v>
      </c>
      <c r="K126" s="4">
        <v>0.21</v>
      </c>
      <c r="L126" s="3">
        <f t="shared" si="1"/>
        <v>18687.160800000001</v>
      </c>
      <c r="M126" s="3">
        <f t="shared" si="2"/>
        <v>10360</v>
      </c>
    </row>
    <row r="127" spans="1:13" ht="14.25" customHeight="1" x14ac:dyDescent="0.25">
      <c r="A127" s="3">
        <v>271</v>
      </c>
      <c r="B127" s="6">
        <v>45510</v>
      </c>
      <c r="C127" s="3" t="s">
        <v>26</v>
      </c>
      <c r="D127" s="3" t="s">
        <v>25</v>
      </c>
      <c r="E127" s="3" t="s">
        <v>15</v>
      </c>
      <c r="F127" s="3" t="s">
        <v>21</v>
      </c>
      <c r="G127" s="3">
        <v>1562</v>
      </c>
      <c r="H127" s="3">
        <v>5</v>
      </c>
      <c r="I127" s="3">
        <v>12</v>
      </c>
      <c r="J127" s="3">
        <f t="shared" si="0"/>
        <v>18744</v>
      </c>
      <c r="K127" s="4">
        <v>0.16</v>
      </c>
      <c r="L127" s="3">
        <f t="shared" si="1"/>
        <v>18773.990399999999</v>
      </c>
      <c r="M127" s="3">
        <f t="shared" si="2"/>
        <v>7810</v>
      </c>
    </row>
    <row r="128" spans="1:13" ht="14.25" customHeight="1" x14ac:dyDescent="0.25">
      <c r="A128" s="3">
        <v>438</v>
      </c>
      <c r="B128" s="6">
        <v>45563</v>
      </c>
      <c r="C128" s="3" t="s">
        <v>13</v>
      </c>
      <c r="D128" s="3" t="s">
        <v>14</v>
      </c>
      <c r="E128" s="3" t="s">
        <v>15</v>
      </c>
      <c r="F128" s="3" t="s">
        <v>16</v>
      </c>
      <c r="G128" s="3">
        <v>1249</v>
      </c>
      <c r="H128" s="3">
        <v>5</v>
      </c>
      <c r="I128" s="3">
        <v>15</v>
      </c>
      <c r="J128" s="3">
        <f t="shared" si="0"/>
        <v>18735</v>
      </c>
      <c r="K128" s="4">
        <v>0.21</v>
      </c>
      <c r="L128" s="3">
        <f t="shared" si="1"/>
        <v>18774.343499999999</v>
      </c>
      <c r="M128" s="3">
        <f t="shared" si="2"/>
        <v>6245</v>
      </c>
    </row>
    <row r="129" spans="1:13" ht="14.25" customHeight="1" x14ac:dyDescent="0.25">
      <c r="A129" s="3">
        <v>118</v>
      </c>
      <c r="B129" s="6">
        <v>44581</v>
      </c>
      <c r="C129" s="3" t="s">
        <v>29</v>
      </c>
      <c r="D129" s="3" t="s">
        <v>22</v>
      </c>
      <c r="E129" s="3" t="s">
        <v>15</v>
      </c>
      <c r="F129" s="3" t="s">
        <v>19</v>
      </c>
      <c r="G129" s="3">
        <v>1706</v>
      </c>
      <c r="H129" s="3">
        <v>5</v>
      </c>
      <c r="I129" s="3">
        <v>11</v>
      </c>
      <c r="J129" s="3">
        <f t="shared" si="0"/>
        <v>18766</v>
      </c>
      <c r="K129" s="4">
        <v>0.08</v>
      </c>
      <c r="L129" s="3">
        <f t="shared" si="1"/>
        <v>18781.0128</v>
      </c>
      <c r="M129" s="3">
        <f t="shared" si="2"/>
        <v>8530</v>
      </c>
    </row>
    <row r="130" spans="1:13" ht="14.25" customHeight="1" x14ac:dyDescent="0.25">
      <c r="A130" s="3">
        <v>229</v>
      </c>
      <c r="B130" s="6">
        <v>44573</v>
      </c>
      <c r="C130" s="3" t="s">
        <v>23</v>
      </c>
      <c r="D130" s="3" t="s">
        <v>14</v>
      </c>
      <c r="E130" s="3" t="s">
        <v>18</v>
      </c>
      <c r="F130" s="3" t="s">
        <v>21</v>
      </c>
      <c r="G130" s="3">
        <v>1884</v>
      </c>
      <c r="H130" s="3">
        <v>3</v>
      </c>
      <c r="I130" s="3">
        <v>10</v>
      </c>
      <c r="J130" s="3">
        <f t="shared" si="0"/>
        <v>18840</v>
      </c>
      <c r="K130" s="4">
        <v>0.17</v>
      </c>
      <c r="L130" s="3">
        <f t="shared" si="1"/>
        <v>18872.027999999998</v>
      </c>
      <c r="M130" s="3">
        <f t="shared" si="2"/>
        <v>5652</v>
      </c>
    </row>
    <row r="131" spans="1:13" ht="14.25" customHeight="1" x14ac:dyDescent="0.25">
      <c r="A131" s="3">
        <v>273</v>
      </c>
      <c r="B131" s="6">
        <v>45064</v>
      </c>
      <c r="C131" s="3" t="s">
        <v>29</v>
      </c>
      <c r="D131" s="3" t="s">
        <v>20</v>
      </c>
      <c r="E131" s="3" t="s">
        <v>27</v>
      </c>
      <c r="F131" s="3" t="s">
        <v>21</v>
      </c>
      <c r="G131" s="3">
        <v>1114</v>
      </c>
      <c r="H131" s="3">
        <v>10</v>
      </c>
      <c r="I131" s="3">
        <v>17</v>
      </c>
      <c r="J131" s="3">
        <f t="shared" si="0"/>
        <v>18938</v>
      </c>
      <c r="K131" s="4">
        <v>0.14000000000000001</v>
      </c>
      <c r="L131" s="3">
        <f t="shared" si="1"/>
        <v>18964.513200000001</v>
      </c>
      <c r="M131" s="3">
        <f t="shared" si="2"/>
        <v>11140</v>
      </c>
    </row>
    <row r="132" spans="1:13" ht="14.25" customHeight="1" x14ac:dyDescent="0.25">
      <c r="A132" s="3">
        <v>19</v>
      </c>
      <c r="B132" s="6">
        <v>44958</v>
      </c>
      <c r="C132" s="3" t="s">
        <v>13</v>
      </c>
      <c r="D132" s="3" t="s">
        <v>22</v>
      </c>
      <c r="E132" s="3" t="s">
        <v>27</v>
      </c>
      <c r="F132" s="3" t="s">
        <v>28</v>
      </c>
      <c r="G132" s="3">
        <v>1006</v>
      </c>
      <c r="H132" s="3">
        <v>10</v>
      </c>
      <c r="I132" s="3">
        <v>19</v>
      </c>
      <c r="J132" s="3">
        <f t="shared" si="0"/>
        <v>19114</v>
      </c>
      <c r="K132" s="4">
        <v>0</v>
      </c>
      <c r="L132" s="3">
        <f t="shared" si="1"/>
        <v>19114</v>
      </c>
      <c r="M132" s="3">
        <f t="shared" si="2"/>
        <v>10060</v>
      </c>
    </row>
    <row r="133" spans="1:13" ht="14.25" customHeight="1" x14ac:dyDescent="0.25">
      <c r="A133" s="3">
        <v>262</v>
      </c>
      <c r="B133" s="6">
        <v>44895</v>
      </c>
      <c r="C133" s="3" t="s">
        <v>13</v>
      </c>
      <c r="D133" s="3" t="s">
        <v>17</v>
      </c>
      <c r="E133" s="3" t="s">
        <v>15</v>
      </c>
      <c r="F133" s="3" t="s">
        <v>21</v>
      </c>
      <c r="G133" s="3">
        <v>1282</v>
      </c>
      <c r="H133" s="3">
        <v>5</v>
      </c>
      <c r="I133" s="3">
        <v>15</v>
      </c>
      <c r="J133" s="3">
        <f t="shared" si="0"/>
        <v>19230</v>
      </c>
      <c r="K133" s="4">
        <v>0.17</v>
      </c>
      <c r="L133" s="3">
        <f t="shared" si="1"/>
        <v>19262.690999999999</v>
      </c>
      <c r="M133" s="3">
        <f t="shared" si="2"/>
        <v>6410</v>
      </c>
    </row>
    <row r="134" spans="1:13" ht="14.25" customHeight="1" x14ac:dyDescent="0.25">
      <c r="A134" s="3">
        <v>126</v>
      </c>
      <c r="B134" s="6">
        <v>45568</v>
      </c>
      <c r="C134" s="3" t="s">
        <v>29</v>
      </c>
      <c r="D134" s="3" t="s">
        <v>25</v>
      </c>
      <c r="E134" s="3" t="s">
        <v>27</v>
      </c>
      <c r="F134" s="3" t="s">
        <v>19</v>
      </c>
      <c r="G134" s="3">
        <v>1287</v>
      </c>
      <c r="H134" s="3">
        <v>10</v>
      </c>
      <c r="I134" s="3">
        <v>15</v>
      </c>
      <c r="J134" s="3">
        <f t="shared" si="0"/>
        <v>19305</v>
      </c>
      <c r="K134" s="4">
        <v>7.0000000000000007E-2</v>
      </c>
      <c r="L134" s="3">
        <f t="shared" si="1"/>
        <v>19318.513500000001</v>
      </c>
      <c r="M134" s="3">
        <f t="shared" si="2"/>
        <v>12870</v>
      </c>
    </row>
    <row r="135" spans="1:13" ht="14.25" customHeight="1" x14ac:dyDescent="0.25">
      <c r="A135" s="3">
        <v>23</v>
      </c>
      <c r="B135" s="6">
        <v>45539</v>
      </c>
      <c r="C135" s="3" t="s">
        <v>13</v>
      </c>
      <c r="D135" s="3" t="s">
        <v>17</v>
      </c>
      <c r="E135" s="3" t="s">
        <v>27</v>
      </c>
      <c r="F135" s="3" t="s">
        <v>28</v>
      </c>
      <c r="G135" s="3">
        <v>1143</v>
      </c>
      <c r="H135" s="3">
        <v>10</v>
      </c>
      <c r="I135" s="3">
        <v>17</v>
      </c>
      <c r="J135" s="3">
        <f t="shared" si="0"/>
        <v>19431</v>
      </c>
      <c r="K135" s="4">
        <v>0</v>
      </c>
      <c r="L135" s="3">
        <f t="shared" si="1"/>
        <v>19431</v>
      </c>
      <c r="M135" s="3">
        <f t="shared" si="2"/>
        <v>11430</v>
      </c>
    </row>
    <row r="136" spans="1:13" ht="14.25" customHeight="1" x14ac:dyDescent="0.25">
      <c r="A136" s="3">
        <v>91</v>
      </c>
      <c r="B136" s="6">
        <v>45392</v>
      </c>
      <c r="C136" s="3" t="s">
        <v>23</v>
      </c>
      <c r="D136" s="3" t="s">
        <v>14</v>
      </c>
      <c r="E136" s="3" t="s">
        <v>27</v>
      </c>
      <c r="F136" s="3" t="s">
        <v>19</v>
      </c>
      <c r="G136" s="3">
        <v>1295</v>
      </c>
      <c r="H136" s="3">
        <v>10</v>
      </c>
      <c r="I136" s="3">
        <v>15</v>
      </c>
      <c r="J136" s="3">
        <f t="shared" si="0"/>
        <v>19425</v>
      </c>
      <c r="K136" s="4">
        <v>7.0000000000000007E-2</v>
      </c>
      <c r="L136" s="3">
        <f t="shared" si="1"/>
        <v>19438.5975</v>
      </c>
      <c r="M136" s="3">
        <f t="shared" si="2"/>
        <v>12950</v>
      </c>
    </row>
    <row r="137" spans="1:13" ht="14.25" customHeight="1" x14ac:dyDescent="0.25">
      <c r="A137" s="3">
        <v>381</v>
      </c>
      <c r="B137" s="6">
        <v>45929</v>
      </c>
      <c r="C137" s="3" t="s">
        <v>24</v>
      </c>
      <c r="D137" s="3" t="s">
        <v>20</v>
      </c>
      <c r="E137" s="3" t="s">
        <v>15</v>
      </c>
      <c r="F137" s="3" t="s">
        <v>16</v>
      </c>
      <c r="G137" s="3">
        <v>2157</v>
      </c>
      <c r="H137" s="3">
        <v>5</v>
      </c>
      <c r="I137" s="3">
        <v>9</v>
      </c>
      <c r="J137" s="3">
        <f t="shared" si="0"/>
        <v>19413</v>
      </c>
      <c r="K137" s="4">
        <v>0.24</v>
      </c>
      <c r="L137" s="3">
        <f t="shared" si="1"/>
        <v>19459.591199999999</v>
      </c>
      <c r="M137" s="3">
        <f t="shared" si="2"/>
        <v>10785</v>
      </c>
    </row>
    <row r="138" spans="1:13" ht="14.25" customHeight="1" x14ac:dyDescent="0.25">
      <c r="A138" s="3">
        <v>17</v>
      </c>
      <c r="B138" s="6">
        <v>44387</v>
      </c>
      <c r="C138" s="3" t="s">
        <v>24</v>
      </c>
      <c r="D138" s="3" t="s">
        <v>20</v>
      </c>
      <c r="E138" s="3" t="s">
        <v>27</v>
      </c>
      <c r="F138" s="3" t="s">
        <v>28</v>
      </c>
      <c r="G138" s="3">
        <v>974</v>
      </c>
      <c r="H138" s="3">
        <v>10</v>
      </c>
      <c r="I138" s="3">
        <v>20</v>
      </c>
      <c r="J138" s="3">
        <f t="shared" si="0"/>
        <v>19480</v>
      </c>
      <c r="K138" s="4">
        <v>0</v>
      </c>
      <c r="L138" s="3">
        <f t="shared" si="1"/>
        <v>19480</v>
      </c>
      <c r="M138" s="3">
        <f t="shared" si="2"/>
        <v>9740</v>
      </c>
    </row>
    <row r="139" spans="1:13" ht="14.25" customHeight="1" x14ac:dyDescent="0.25">
      <c r="A139" s="3">
        <v>309</v>
      </c>
      <c r="B139" s="6">
        <v>45443</v>
      </c>
      <c r="C139" s="3" t="s">
        <v>24</v>
      </c>
      <c r="D139" s="3" t="s">
        <v>25</v>
      </c>
      <c r="E139" s="3" t="s">
        <v>27</v>
      </c>
      <c r="F139" s="3" t="s">
        <v>21</v>
      </c>
      <c r="G139" s="3">
        <v>1227</v>
      </c>
      <c r="H139" s="3">
        <v>10</v>
      </c>
      <c r="I139" s="3">
        <v>16</v>
      </c>
      <c r="J139" s="3">
        <f t="shared" si="0"/>
        <v>19632</v>
      </c>
      <c r="K139" s="4">
        <v>0.14000000000000001</v>
      </c>
      <c r="L139" s="3">
        <f t="shared" si="1"/>
        <v>19659.484799999998</v>
      </c>
      <c r="M139" s="3">
        <f t="shared" si="2"/>
        <v>12270</v>
      </c>
    </row>
    <row r="140" spans="1:13" ht="14.25" customHeight="1" x14ac:dyDescent="0.25">
      <c r="A140" s="3">
        <v>242</v>
      </c>
      <c r="B140" s="6">
        <v>44755</v>
      </c>
      <c r="C140" s="3" t="s">
        <v>13</v>
      </c>
      <c r="D140" s="3" t="s">
        <v>25</v>
      </c>
      <c r="E140" s="3" t="s">
        <v>15</v>
      </c>
      <c r="F140" s="3" t="s">
        <v>21</v>
      </c>
      <c r="G140" s="3">
        <v>1976</v>
      </c>
      <c r="H140" s="3">
        <v>5</v>
      </c>
      <c r="I140" s="3">
        <v>10</v>
      </c>
      <c r="J140" s="3">
        <f t="shared" si="0"/>
        <v>19760</v>
      </c>
      <c r="K140" s="4">
        <v>0.16</v>
      </c>
      <c r="L140" s="3">
        <f t="shared" si="1"/>
        <v>19791.616000000002</v>
      </c>
      <c r="M140" s="3">
        <f t="shared" si="2"/>
        <v>9880</v>
      </c>
    </row>
    <row r="141" spans="1:13" ht="14.25" customHeight="1" x14ac:dyDescent="0.25">
      <c r="A141" s="3">
        <v>408</v>
      </c>
      <c r="B141" s="6">
        <v>44271</v>
      </c>
      <c r="C141" s="3" t="s">
        <v>13</v>
      </c>
      <c r="D141" s="3" t="s">
        <v>20</v>
      </c>
      <c r="E141" s="3" t="s">
        <v>27</v>
      </c>
      <c r="F141" s="3" t="s">
        <v>16</v>
      </c>
      <c r="G141" s="3">
        <v>905</v>
      </c>
      <c r="H141" s="3">
        <v>10</v>
      </c>
      <c r="I141" s="3">
        <v>22</v>
      </c>
      <c r="J141" s="3">
        <f t="shared" si="0"/>
        <v>19910</v>
      </c>
      <c r="K141" s="4">
        <v>0.25</v>
      </c>
      <c r="L141" s="3">
        <f t="shared" si="1"/>
        <v>19959.775000000001</v>
      </c>
      <c r="M141" s="3">
        <f t="shared" si="2"/>
        <v>9050</v>
      </c>
    </row>
    <row r="142" spans="1:13" ht="14.25" customHeight="1" x14ac:dyDescent="0.25">
      <c r="A142" s="3">
        <v>509</v>
      </c>
      <c r="B142" s="6">
        <v>45609</v>
      </c>
      <c r="C142" s="3" t="s">
        <v>24</v>
      </c>
      <c r="D142" s="3" t="s">
        <v>22</v>
      </c>
      <c r="E142" s="3" t="s">
        <v>27</v>
      </c>
      <c r="F142" s="3" t="s">
        <v>16</v>
      </c>
      <c r="G142" s="3">
        <v>1175</v>
      </c>
      <c r="H142" s="3">
        <v>10</v>
      </c>
      <c r="I142" s="3">
        <v>17</v>
      </c>
      <c r="J142" s="3">
        <f t="shared" si="0"/>
        <v>19975</v>
      </c>
      <c r="K142" s="4">
        <v>0.24</v>
      </c>
      <c r="L142" s="3">
        <f t="shared" si="1"/>
        <v>20022.939999999999</v>
      </c>
      <c r="M142" s="3">
        <f t="shared" si="2"/>
        <v>11750</v>
      </c>
    </row>
    <row r="143" spans="1:13" ht="14.25" customHeight="1" x14ac:dyDescent="0.25">
      <c r="A143" s="3">
        <v>153</v>
      </c>
      <c r="B143" s="6">
        <v>44311</v>
      </c>
      <c r="C143" s="3" t="s">
        <v>13</v>
      </c>
      <c r="D143" s="3" t="s">
        <v>17</v>
      </c>
      <c r="E143" s="3" t="s">
        <v>27</v>
      </c>
      <c r="F143" s="3" t="s">
        <v>19</v>
      </c>
      <c r="G143" s="3">
        <v>1056</v>
      </c>
      <c r="H143" s="3">
        <v>10</v>
      </c>
      <c r="I143" s="3">
        <v>19</v>
      </c>
      <c r="J143" s="3">
        <f t="shared" si="0"/>
        <v>20064</v>
      </c>
      <c r="K143" s="4">
        <v>7.0000000000000007E-2</v>
      </c>
      <c r="L143" s="3">
        <f t="shared" si="1"/>
        <v>20078.0448</v>
      </c>
      <c r="M143" s="3">
        <f t="shared" si="2"/>
        <v>10560</v>
      </c>
    </row>
    <row r="144" spans="1:13" ht="14.25" customHeight="1" x14ac:dyDescent="0.25">
      <c r="A144" s="3">
        <v>406</v>
      </c>
      <c r="B144" s="6">
        <v>45331</v>
      </c>
      <c r="C144" s="3" t="s">
        <v>13</v>
      </c>
      <c r="D144" s="3" t="s">
        <v>20</v>
      </c>
      <c r="E144" s="3" t="s">
        <v>27</v>
      </c>
      <c r="F144" s="3" t="s">
        <v>16</v>
      </c>
      <c r="G144" s="3">
        <v>886</v>
      </c>
      <c r="H144" s="3">
        <v>10</v>
      </c>
      <c r="I144" s="3">
        <v>23</v>
      </c>
      <c r="J144" s="3">
        <f t="shared" si="0"/>
        <v>20378</v>
      </c>
      <c r="K144" s="4">
        <v>0.22</v>
      </c>
      <c r="L144" s="3">
        <f t="shared" si="1"/>
        <v>20422.831600000001</v>
      </c>
      <c r="M144" s="3">
        <f t="shared" si="2"/>
        <v>8860</v>
      </c>
    </row>
    <row r="145" spans="1:13" ht="14.25" customHeight="1" x14ac:dyDescent="0.25">
      <c r="A145" s="3">
        <v>142</v>
      </c>
      <c r="B145" s="6">
        <v>44734</v>
      </c>
      <c r="C145" s="3" t="s">
        <v>26</v>
      </c>
      <c r="D145" s="3" t="s">
        <v>22</v>
      </c>
      <c r="E145" s="3" t="s">
        <v>15</v>
      </c>
      <c r="F145" s="3" t="s">
        <v>19</v>
      </c>
      <c r="G145" s="3">
        <v>1859</v>
      </c>
      <c r="H145" s="3">
        <v>5</v>
      </c>
      <c r="I145" s="3">
        <v>11</v>
      </c>
      <c r="J145" s="3">
        <f t="shared" si="0"/>
        <v>20449</v>
      </c>
      <c r="K145" s="4">
        <v>0.04</v>
      </c>
      <c r="L145" s="3">
        <f t="shared" si="1"/>
        <v>20457.179599999999</v>
      </c>
      <c r="M145" s="3">
        <f t="shared" si="2"/>
        <v>9295</v>
      </c>
    </row>
    <row r="146" spans="1:13" ht="14.25" customHeight="1" x14ac:dyDescent="0.25">
      <c r="A146" s="3">
        <v>96</v>
      </c>
      <c r="B146" s="6">
        <v>44536</v>
      </c>
      <c r="C146" s="3" t="s">
        <v>23</v>
      </c>
      <c r="D146" s="3" t="s">
        <v>20</v>
      </c>
      <c r="E146" s="3" t="s">
        <v>27</v>
      </c>
      <c r="F146" s="3" t="s">
        <v>19</v>
      </c>
      <c r="G146" s="3">
        <v>1084</v>
      </c>
      <c r="H146" s="3">
        <v>10</v>
      </c>
      <c r="I146" s="3">
        <v>19</v>
      </c>
      <c r="J146" s="3">
        <f t="shared" si="0"/>
        <v>20596</v>
      </c>
      <c r="K146" s="4">
        <v>0.04</v>
      </c>
      <c r="L146" s="3">
        <f t="shared" si="1"/>
        <v>20604.238399999998</v>
      </c>
      <c r="M146" s="3">
        <f t="shared" si="2"/>
        <v>10840</v>
      </c>
    </row>
    <row r="147" spans="1:13" ht="14.25" customHeight="1" x14ac:dyDescent="0.25">
      <c r="A147" s="3">
        <v>48</v>
      </c>
      <c r="B147" s="6">
        <v>45031</v>
      </c>
      <c r="C147" s="3" t="s">
        <v>13</v>
      </c>
      <c r="D147" s="3" t="s">
        <v>25</v>
      </c>
      <c r="E147" s="3" t="s">
        <v>27</v>
      </c>
      <c r="F147" s="3" t="s">
        <v>19</v>
      </c>
      <c r="G147" s="3">
        <v>1030</v>
      </c>
      <c r="H147" s="3">
        <v>10</v>
      </c>
      <c r="I147" s="3">
        <v>20</v>
      </c>
      <c r="J147" s="3">
        <f t="shared" si="0"/>
        <v>20600</v>
      </c>
      <c r="K147" s="4">
        <v>7.0000000000000007E-2</v>
      </c>
      <c r="L147" s="3">
        <f t="shared" si="1"/>
        <v>20614.419999999998</v>
      </c>
      <c r="M147" s="3">
        <f t="shared" si="2"/>
        <v>10300</v>
      </c>
    </row>
    <row r="148" spans="1:13" ht="14.25" customHeight="1" x14ac:dyDescent="0.25">
      <c r="A148" s="3">
        <v>275</v>
      </c>
      <c r="B148" s="6">
        <v>45020</v>
      </c>
      <c r="C148" s="3" t="s">
        <v>13</v>
      </c>
      <c r="D148" s="3" t="s">
        <v>22</v>
      </c>
      <c r="E148" s="3" t="s">
        <v>27</v>
      </c>
      <c r="F148" s="3" t="s">
        <v>21</v>
      </c>
      <c r="G148" s="3">
        <v>1095</v>
      </c>
      <c r="H148" s="3">
        <v>10</v>
      </c>
      <c r="I148" s="3">
        <v>19</v>
      </c>
      <c r="J148" s="3">
        <f t="shared" si="0"/>
        <v>20805</v>
      </c>
      <c r="K148" s="4">
        <v>0.14000000000000001</v>
      </c>
      <c r="L148" s="3">
        <f t="shared" si="1"/>
        <v>20834.127</v>
      </c>
      <c r="M148" s="3">
        <f t="shared" si="2"/>
        <v>10950</v>
      </c>
    </row>
    <row r="149" spans="1:13" ht="14.25" customHeight="1" x14ac:dyDescent="0.25">
      <c r="A149" s="3">
        <v>9</v>
      </c>
      <c r="B149" s="6">
        <v>44460</v>
      </c>
      <c r="C149" s="3" t="s">
        <v>13</v>
      </c>
      <c r="D149" s="3" t="s">
        <v>25</v>
      </c>
      <c r="E149" s="3" t="s">
        <v>15</v>
      </c>
      <c r="F149" s="3" t="s">
        <v>28</v>
      </c>
      <c r="G149" s="3">
        <v>1899</v>
      </c>
      <c r="H149" s="3">
        <v>5</v>
      </c>
      <c r="I149" s="3">
        <v>11</v>
      </c>
      <c r="J149" s="3">
        <f t="shared" si="0"/>
        <v>20889</v>
      </c>
      <c r="K149" s="4">
        <v>0</v>
      </c>
      <c r="L149" s="3">
        <f t="shared" si="1"/>
        <v>20889</v>
      </c>
      <c r="M149" s="3">
        <f t="shared" si="2"/>
        <v>9495</v>
      </c>
    </row>
    <row r="150" spans="1:13" ht="14.25" customHeight="1" x14ac:dyDescent="0.25">
      <c r="A150" s="3">
        <v>341</v>
      </c>
      <c r="B150" s="6">
        <v>45653</v>
      </c>
      <c r="C150" s="3" t="s">
        <v>13</v>
      </c>
      <c r="D150" s="3" t="s">
        <v>17</v>
      </c>
      <c r="E150" s="3" t="s">
        <v>15</v>
      </c>
      <c r="F150" s="3" t="s">
        <v>16</v>
      </c>
      <c r="G150" s="3">
        <v>2328</v>
      </c>
      <c r="H150" s="3">
        <v>5</v>
      </c>
      <c r="I150" s="3">
        <v>9</v>
      </c>
      <c r="J150" s="3">
        <f t="shared" si="0"/>
        <v>20952</v>
      </c>
      <c r="K150" s="4">
        <v>0.24</v>
      </c>
      <c r="L150" s="3">
        <f t="shared" si="1"/>
        <v>21002.284800000001</v>
      </c>
      <c r="M150" s="3">
        <f t="shared" si="2"/>
        <v>11640</v>
      </c>
    </row>
    <row r="151" spans="1:13" ht="14.25" customHeight="1" x14ac:dyDescent="0.25">
      <c r="A151" s="3">
        <v>413</v>
      </c>
      <c r="B151" s="6">
        <v>45276</v>
      </c>
      <c r="C151" s="3" t="s">
        <v>13</v>
      </c>
      <c r="D151" s="3" t="s">
        <v>20</v>
      </c>
      <c r="E151" s="3" t="s">
        <v>27</v>
      </c>
      <c r="F151" s="3" t="s">
        <v>16</v>
      </c>
      <c r="G151" s="3">
        <v>1233</v>
      </c>
      <c r="H151" s="3">
        <v>10</v>
      </c>
      <c r="I151" s="3">
        <v>17</v>
      </c>
      <c r="J151" s="3">
        <f t="shared" si="0"/>
        <v>20961</v>
      </c>
      <c r="K151" s="4">
        <v>0.2</v>
      </c>
      <c r="L151" s="3">
        <f t="shared" si="1"/>
        <v>21002.921999999999</v>
      </c>
      <c r="M151" s="3">
        <f t="shared" si="2"/>
        <v>12330</v>
      </c>
    </row>
    <row r="152" spans="1:13" ht="14.25" customHeight="1" x14ac:dyDescent="0.25">
      <c r="A152" s="3">
        <v>448</v>
      </c>
      <c r="B152" s="6">
        <v>45439</v>
      </c>
      <c r="C152" s="3" t="s">
        <v>13</v>
      </c>
      <c r="D152" s="3" t="s">
        <v>14</v>
      </c>
      <c r="E152" s="3" t="s">
        <v>27</v>
      </c>
      <c r="F152" s="3" t="s">
        <v>16</v>
      </c>
      <c r="G152" s="3">
        <v>1249</v>
      </c>
      <c r="H152" s="3">
        <v>10</v>
      </c>
      <c r="I152" s="3">
        <v>17</v>
      </c>
      <c r="J152" s="3">
        <f t="shared" si="0"/>
        <v>21233</v>
      </c>
      <c r="K152" s="4">
        <v>0.2</v>
      </c>
      <c r="L152" s="3">
        <f t="shared" si="1"/>
        <v>21275.466</v>
      </c>
      <c r="M152" s="3">
        <f t="shared" si="2"/>
        <v>12490</v>
      </c>
    </row>
    <row r="153" spans="1:13" ht="14.25" customHeight="1" x14ac:dyDescent="0.25">
      <c r="A153" s="3">
        <v>402</v>
      </c>
      <c r="B153" s="6">
        <v>45832</v>
      </c>
      <c r="C153" s="3" t="s">
        <v>26</v>
      </c>
      <c r="D153" s="3" t="s">
        <v>25</v>
      </c>
      <c r="E153" s="3" t="s">
        <v>15</v>
      </c>
      <c r="F153" s="3" t="s">
        <v>16</v>
      </c>
      <c r="G153" s="3">
        <v>1773</v>
      </c>
      <c r="H153" s="3">
        <v>5</v>
      </c>
      <c r="I153" s="3">
        <v>12</v>
      </c>
      <c r="J153" s="3">
        <f t="shared" si="0"/>
        <v>21276</v>
      </c>
      <c r="K153" s="4">
        <v>0.22</v>
      </c>
      <c r="L153" s="3">
        <f t="shared" si="1"/>
        <v>21322.807199999999</v>
      </c>
      <c r="M153" s="3">
        <f t="shared" si="2"/>
        <v>8865</v>
      </c>
    </row>
    <row r="154" spans="1:13" ht="14.25" customHeight="1" x14ac:dyDescent="0.25">
      <c r="A154" s="3">
        <v>14</v>
      </c>
      <c r="B154" s="6">
        <v>45126</v>
      </c>
      <c r="C154" s="3" t="s">
        <v>13</v>
      </c>
      <c r="D154" s="3" t="s">
        <v>22</v>
      </c>
      <c r="E154" s="3" t="s">
        <v>15</v>
      </c>
      <c r="F154" s="3" t="s">
        <v>28</v>
      </c>
      <c r="G154" s="3">
        <v>2146</v>
      </c>
      <c r="H154" s="3">
        <v>5</v>
      </c>
      <c r="I154" s="3">
        <v>10</v>
      </c>
      <c r="J154" s="3">
        <f t="shared" si="0"/>
        <v>21460</v>
      </c>
      <c r="K154" s="4">
        <v>0</v>
      </c>
      <c r="L154" s="3">
        <f t="shared" si="1"/>
        <v>21460</v>
      </c>
      <c r="M154" s="3">
        <f t="shared" si="2"/>
        <v>10730</v>
      </c>
    </row>
    <row r="155" spans="1:13" ht="14.25" customHeight="1" x14ac:dyDescent="0.25">
      <c r="A155" s="3">
        <v>412</v>
      </c>
      <c r="B155" s="6">
        <v>44711</v>
      </c>
      <c r="C155" s="3" t="s">
        <v>13</v>
      </c>
      <c r="D155" s="3" t="s">
        <v>20</v>
      </c>
      <c r="E155" s="3" t="s">
        <v>27</v>
      </c>
      <c r="F155" s="3" t="s">
        <v>16</v>
      </c>
      <c r="G155" s="3">
        <v>1197</v>
      </c>
      <c r="H155" s="3">
        <v>10</v>
      </c>
      <c r="I155" s="3">
        <v>18</v>
      </c>
      <c r="J155" s="3">
        <f t="shared" si="0"/>
        <v>21546</v>
      </c>
      <c r="K155" s="4">
        <v>0.25</v>
      </c>
      <c r="L155" s="3">
        <f t="shared" si="1"/>
        <v>21599.865000000002</v>
      </c>
      <c r="M155" s="3">
        <f t="shared" si="2"/>
        <v>11970</v>
      </c>
    </row>
    <row r="156" spans="1:13" ht="14.25" customHeight="1" x14ac:dyDescent="0.25">
      <c r="A156" s="3">
        <v>399</v>
      </c>
      <c r="B156" s="6">
        <v>44341</v>
      </c>
      <c r="C156" s="3" t="s">
        <v>29</v>
      </c>
      <c r="D156" s="3" t="s">
        <v>20</v>
      </c>
      <c r="E156" s="3" t="s">
        <v>18</v>
      </c>
      <c r="F156" s="3" t="s">
        <v>16</v>
      </c>
      <c r="G156" s="3">
        <v>2156</v>
      </c>
      <c r="H156" s="3">
        <v>3</v>
      </c>
      <c r="I156" s="3">
        <v>10</v>
      </c>
      <c r="J156" s="3">
        <f t="shared" si="0"/>
        <v>21560</v>
      </c>
      <c r="K156" s="4">
        <v>0.24</v>
      </c>
      <c r="L156" s="3">
        <f t="shared" si="1"/>
        <v>21611.743999999999</v>
      </c>
      <c r="M156" s="3">
        <f t="shared" si="2"/>
        <v>6468</v>
      </c>
    </row>
    <row r="157" spans="1:13" ht="14.25" customHeight="1" x14ac:dyDescent="0.25">
      <c r="A157" s="3">
        <v>403</v>
      </c>
      <c r="B157" s="6">
        <v>45895</v>
      </c>
      <c r="C157" s="3" t="s">
        <v>13</v>
      </c>
      <c r="D157" s="3" t="s">
        <v>20</v>
      </c>
      <c r="E157" s="3" t="s">
        <v>15</v>
      </c>
      <c r="F157" s="3" t="s">
        <v>16</v>
      </c>
      <c r="G157" s="3">
        <v>2420</v>
      </c>
      <c r="H157" s="3">
        <v>5</v>
      </c>
      <c r="I157" s="3">
        <v>9</v>
      </c>
      <c r="J157" s="3">
        <f t="shared" si="0"/>
        <v>21780</v>
      </c>
      <c r="K157" s="4">
        <v>0.24</v>
      </c>
      <c r="L157" s="3">
        <f t="shared" si="1"/>
        <v>21832.272000000001</v>
      </c>
      <c r="M157" s="3">
        <f t="shared" si="2"/>
        <v>12100</v>
      </c>
    </row>
    <row r="158" spans="1:13" ht="14.25" customHeight="1" x14ac:dyDescent="0.25">
      <c r="A158" s="3">
        <v>163</v>
      </c>
      <c r="B158" s="6">
        <v>45123</v>
      </c>
      <c r="C158" s="3" t="s">
        <v>13</v>
      </c>
      <c r="D158" s="3" t="s">
        <v>22</v>
      </c>
      <c r="E158" s="3" t="s">
        <v>27</v>
      </c>
      <c r="F158" s="3" t="s">
        <v>21</v>
      </c>
      <c r="G158" s="3">
        <v>1372</v>
      </c>
      <c r="H158" s="3">
        <v>10</v>
      </c>
      <c r="I158" s="3">
        <v>16</v>
      </c>
      <c r="J158" s="3">
        <f t="shared" si="0"/>
        <v>21952</v>
      </c>
      <c r="K158" s="4">
        <v>0.17</v>
      </c>
      <c r="L158" s="3">
        <f t="shared" si="1"/>
        <v>21989.3184</v>
      </c>
      <c r="M158" s="3">
        <f t="shared" si="2"/>
        <v>13720</v>
      </c>
    </row>
    <row r="159" spans="1:13" ht="14.25" customHeight="1" x14ac:dyDescent="0.25">
      <c r="A159" s="3">
        <v>500</v>
      </c>
      <c r="B159" s="6">
        <v>45818</v>
      </c>
      <c r="C159" s="3" t="s">
        <v>29</v>
      </c>
      <c r="D159" s="3" t="s">
        <v>22</v>
      </c>
      <c r="E159" s="3" t="s">
        <v>18</v>
      </c>
      <c r="F159" s="3" t="s">
        <v>16</v>
      </c>
      <c r="G159" s="3">
        <v>2767</v>
      </c>
      <c r="H159" s="3">
        <v>3</v>
      </c>
      <c r="I159" s="3">
        <v>8</v>
      </c>
      <c r="J159" s="3">
        <f t="shared" si="0"/>
        <v>22136</v>
      </c>
      <c r="K159" s="4">
        <v>0.22</v>
      </c>
      <c r="L159" s="3">
        <f t="shared" si="1"/>
        <v>22184.699199999999</v>
      </c>
      <c r="M159" s="3">
        <f t="shared" si="2"/>
        <v>8301</v>
      </c>
    </row>
    <row r="160" spans="1:13" ht="14.25" customHeight="1" x14ac:dyDescent="0.25">
      <c r="A160" s="3">
        <v>176</v>
      </c>
      <c r="B160" s="6">
        <v>45153</v>
      </c>
      <c r="C160" s="3" t="s">
        <v>13</v>
      </c>
      <c r="D160" s="3" t="s">
        <v>25</v>
      </c>
      <c r="E160" s="3" t="s">
        <v>18</v>
      </c>
      <c r="F160" s="3" t="s">
        <v>21</v>
      </c>
      <c r="G160" s="3">
        <v>2487</v>
      </c>
      <c r="H160" s="3">
        <v>3</v>
      </c>
      <c r="I160" s="3">
        <v>9</v>
      </c>
      <c r="J160" s="3">
        <f t="shared" si="0"/>
        <v>22383</v>
      </c>
      <c r="K160" s="4">
        <v>0.17</v>
      </c>
      <c r="L160" s="3">
        <f t="shared" si="1"/>
        <v>22421.051100000001</v>
      </c>
      <c r="M160" s="3">
        <f t="shared" si="2"/>
        <v>7461</v>
      </c>
    </row>
    <row r="161" spans="1:13" ht="14.25" customHeight="1" x14ac:dyDescent="0.25">
      <c r="A161" s="3">
        <v>212</v>
      </c>
      <c r="B161" s="6">
        <v>44981</v>
      </c>
      <c r="C161" s="3" t="s">
        <v>13</v>
      </c>
      <c r="D161" s="3" t="s">
        <v>25</v>
      </c>
      <c r="E161" s="3" t="s">
        <v>27</v>
      </c>
      <c r="F161" s="3" t="s">
        <v>21</v>
      </c>
      <c r="G161" s="3">
        <v>1496</v>
      </c>
      <c r="H161" s="3">
        <v>10</v>
      </c>
      <c r="I161" s="3">
        <v>15</v>
      </c>
      <c r="J161" s="3">
        <f t="shared" si="0"/>
        <v>22440</v>
      </c>
      <c r="K161" s="4">
        <v>0.16</v>
      </c>
      <c r="L161" s="3">
        <f t="shared" si="1"/>
        <v>22475.903999999999</v>
      </c>
      <c r="M161" s="3">
        <f t="shared" si="2"/>
        <v>14960</v>
      </c>
    </row>
    <row r="162" spans="1:13" ht="14.25" customHeight="1" x14ac:dyDescent="0.25">
      <c r="A162" s="3">
        <v>383</v>
      </c>
      <c r="B162" s="6">
        <v>45666</v>
      </c>
      <c r="C162" s="3" t="s">
        <v>13</v>
      </c>
      <c r="D162" s="3" t="s">
        <v>20</v>
      </c>
      <c r="E162" s="3" t="s">
        <v>27</v>
      </c>
      <c r="F162" s="3" t="s">
        <v>16</v>
      </c>
      <c r="G162" s="3">
        <v>1122</v>
      </c>
      <c r="H162" s="3">
        <v>10</v>
      </c>
      <c r="I162" s="3">
        <v>20</v>
      </c>
      <c r="J162" s="3">
        <f t="shared" si="0"/>
        <v>22440</v>
      </c>
      <c r="K162" s="4">
        <v>0.24</v>
      </c>
      <c r="L162" s="3">
        <f t="shared" si="1"/>
        <v>22493.856</v>
      </c>
      <c r="M162" s="3">
        <f t="shared" si="2"/>
        <v>11220</v>
      </c>
    </row>
    <row r="163" spans="1:13" ht="14.25" customHeight="1" x14ac:dyDescent="0.25">
      <c r="A163" s="3">
        <v>437</v>
      </c>
      <c r="B163" s="6">
        <v>44219</v>
      </c>
      <c r="C163" s="3" t="s">
        <v>13</v>
      </c>
      <c r="D163" s="3" t="s">
        <v>20</v>
      </c>
      <c r="E163" s="3" t="s">
        <v>15</v>
      </c>
      <c r="F163" s="3" t="s">
        <v>16</v>
      </c>
      <c r="G163" s="3">
        <v>2255</v>
      </c>
      <c r="H163" s="3">
        <v>5</v>
      </c>
      <c r="I163" s="3">
        <v>10</v>
      </c>
      <c r="J163" s="3">
        <f t="shared" si="0"/>
        <v>22550</v>
      </c>
      <c r="K163" s="4">
        <v>0.23</v>
      </c>
      <c r="L163" s="3">
        <f t="shared" si="1"/>
        <v>22601.865000000002</v>
      </c>
      <c r="M163" s="3">
        <f t="shared" si="2"/>
        <v>11275</v>
      </c>
    </row>
    <row r="164" spans="1:13" ht="14.25" customHeight="1" x14ac:dyDescent="0.25">
      <c r="A164" s="3">
        <v>62</v>
      </c>
      <c r="B164" s="6">
        <v>44566</v>
      </c>
      <c r="C164" s="3" t="s">
        <v>24</v>
      </c>
      <c r="D164" s="3" t="s">
        <v>17</v>
      </c>
      <c r="E164" s="3" t="s">
        <v>27</v>
      </c>
      <c r="F164" s="3" t="s">
        <v>19</v>
      </c>
      <c r="G164" s="3">
        <v>1514</v>
      </c>
      <c r="H164" s="3">
        <v>10</v>
      </c>
      <c r="I164" s="3">
        <v>15</v>
      </c>
      <c r="J164" s="3">
        <f t="shared" si="0"/>
        <v>22710</v>
      </c>
      <c r="K164" s="4">
        <v>0.09</v>
      </c>
      <c r="L164" s="3">
        <f t="shared" si="1"/>
        <v>22730.438999999998</v>
      </c>
      <c r="M164" s="3">
        <f t="shared" si="2"/>
        <v>15140</v>
      </c>
    </row>
    <row r="165" spans="1:13" ht="14.25" customHeight="1" x14ac:dyDescent="0.25">
      <c r="A165" s="3">
        <v>333</v>
      </c>
      <c r="B165" s="6">
        <v>44786</v>
      </c>
      <c r="C165" s="3" t="s">
        <v>13</v>
      </c>
      <c r="D165" s="3" t="s">
        <v>20</v>
      </c>
      <c r="E165" s="3" t="s">
        <v>27</v>
      </c>
      <c r="F165" s="3" t="s">
        <v>21</v>
      </c>
      <c r="G165" s="3">
        <v>1038</v>
      </c>
      <c r="H165" s="3">
        <v>10</v>
      </c>
      <c r="I165" s="3">
        <v>22</v>
      </c>
      <c r="J165" s="3">
        <f t="shared" si="0"/>
        <v>22836</v>
      </c>
      <c r="K165" s="4">
        <v>0.13</v>
      </c>
      <c r="L165" s="3">
        <f t="shared" si="1"/>
        <v>22865.686799999999</v>
      </c>
      <c r="M165" s="3">
        <f t="shared" si="2"/>
        <v>10380</v>
      </c>
    </row>
    <row r="166" spans="1:13" ht="14.25" customHeight="1" x14ac:dyDescent="0.25">
      <c r="A166" s="3">
        <v>308</v>
      </c>
      <c r="B166" s="6">
        <v>44695</v>
      </c>
      <c r="C166" s="3" t="s">
        <v>26</v>
      </c>
      <c r="D166" s="3" t="s">
        <v>14</v>
      </c>
      <c r="E166" s="3" t="s">
        <v>27</v>
      </c>
      <c r="F166" s="3" t="s">
        <v>21</v>
      </c>
      <c r="G166" s="3">
        <v>1094</v>
      </c>
      <c r="H166" s="3">
        <v>10</v>
      </c>
      <c r="I166" s="3">
        <v>21</v>
      </c>
      <c r="J166" s="3">
        <f t="shared" si="0"/>
        <v>22974</v>
      </c>
      <c r="K166" s="4">
        <v>0.18</v>
      </c>
      <c r="L166" s="3">
        <f t="shared" si="1"/>
        <v>23015.353200000001</v>
      </c>
      <c r="M166" s="3">
        <f t="shared" si="2"/>
        <v>10940</v>
      </c>
    </row>
    <row r="167" spans="1:13" ht="14.25" customHeight="1" x14ac:dyDescent="0.25">
      <c r="A167" s="3">
        <v>481</v>
      </c>
      <c r="B167" s="6">
        <v>44616</v>
      </c>
      <c r="C167" s="3" t="s">
        <v>24</v>
      </c>
      <c r="D167" s="3" t="s">
        <v>14</v>
      </c>
      <c r="E167" s="3" t="s">
        <v>15</v>
      </c>
      <c r="F167" s="3" t="s">
        <v>16</v>
      </c>
      <c r="G167" s="3">
        <v>2300</v>
      </c>
      <c r="H167" s="3">
        <v>5</v>
      </c>
      <c r="I167" s="3">
        <v>10</v>
      </c>
      <c r="J167" s="3">
        <f t="shared" si="0"/>
        <v>23000</v>
      </c>
      <c r="K167" s="4">
        <v>0.2</v>
      </c>
      <c r="L167" s="3">
        <f t="shared" si="1"/>
        <v>23046</v>
      </c>
      <c r="M167" s="3">
        <f t="shared" si="2"/>
        <v>11500</v>
      </c>
    </row>
    <row r="168" spans="1:13" ht="14.25" customHeight="1" x14ac:dyDescent="0.25">
      <c r="A168" s="3">
        <v>248</v>
      </c>
      <c r="B168" s="6">
        <v>45180</v>
      </c>
      <c r="C168" s="3" t="s">
        <v>13</v>
      </c>
      <c r="D168" s="3" t="s">
        <v>25</v>
      </c>
      <c r="E168" s="3" t="s">
        <v>27</v>
      </c>
      <c r="F168" s="3" t="s">
        <v>21</v>
      </c>
      <c r="G168" s="3">
        <v>1535</v>
      </c>
      <c r="H168" s="3">
        <v>10</v>
      </c>
      <c r="I168" s="3">
        <v>15</v>
      </c>
      <c r="J168" s="3">
        <f t="shared" si="0"/>
        <v>23025</v>
      </c>
      <c r="K168" s="4">
        <v>0.17</v>
      </c>
      <c r="L168" s="3">
        <f t="shared" si="1"/>
        <v>23064.142500000002</v>
      </c>
      <c r="M168" s="3">
        <f t="shared" si="2"/>
        <v>15350</v>
      </c>
    </row>
    <row r="169" spans="1:13" ht="14.25" customHeight="1" x14ac:dyDescent="0.25">
      <c r="A169" s="3">
        <v>430</v>
      </c>
      <c r="B169" s="6">
        <v>45999</v>
      </c>
      <c r="C169" s="3" t="s">
        <v>24</v>
      </c>
      <c r="D169" s="3" t="s">
        <v>17</v>
      </c>
      <c r="E169" s="3" t="s">
        <v>18</v>
      </c>
      <c r="F169" s="3" t="s">
        <v>16</v>
      </c>
      <c r="G169" s="3">
        <v>2567</v>
      </c>
      <c r="H169" s="3">
        <v>3</v>
      </c>
      <c r="I169" s="3">
        <v>9</v>
      </c>
      <c r="J169" s="3">
        <f t="shared" si="0"/>
        <v>23103</v>
      </c>
      <c r="K169" s="4">
        <v>0.25</v>
      </c>
      <c r="L169" s="3">
        <f t="shared" si="1"/>
        <v>23160.7575</v>
      </c>
      <c r="M169" s="3">
        <f t="shared" si="2"/>
        <v>7701</v>
      </c>
    </row>
    <row r="170" spans="1:13" ht="14.25" customHeight="1" x14ac:dyDescent="0.25">
      <c r="A170" s="3">
        <v>343</v>
      </c>
      <c r="B170" s="6">
        <v>46009</v>
      </c>
      <c r="C170" s="3" t="s">
        <v>13</v>
      </c>
      <c r="D170" s="3" t="s">
        <v>17</v>
      </c>
      <c r="E170" s="3" t="s">
        <v>15</v>
      </c>
      <c r="F170" s="3" t="s">
        <v>16</v>
      </c>
      <c r="G170" s="3">
        <v>2313</v>
      </c>
      <c r="H170" s="3">
        <v>5</v>
      </c>
      <c r="I170" s="3">
        <v>10</v>
      </c>
      <c r="J170" s="3">
        <f t="shared" si="0"/>
        <v>23130</v>
      </c>
      <c r="K170" s="4">
        <v>0.21</v>
      </c>
      <c r="L170" s="3">
        <f t="shared" si="1"/>
        <v>23178.573</v>
      </c>
      <c r="M170" s="3">
        <f t="shared" si="2"/>
        <v>11565</v>
      </c>
    </row>
    <row r="171" spans="1:13" ht="14.25" customHeight="1" x14ac:dyDescent="0.25">
      <c r="A171" s="3">
        <v>230</v>
      </c>
      <c r="B171" s="6">
        <v>44652</v>
      </c>
      <c r="C171" s="3" t="s">
        <v>23</v>
      </c>
      <c r="D171" s="3" t="s">
        <v>20</v>
      </c>
      <c r="E171" s="3" t="s">
        <v>15</v>
      </c>
      <c r="F171" s="3" t="s">
        <v>21</v>
      </c>
      <c r="G171" s="3">
        <v>2340</v>
      </c>
      <c r="H171" s="3">
        <v>5</v>
      </c>
      <c r="I171" s="3">
        <v>10</v>
      </c>
      <c r="J171" s="3">
        <f t="shared" si="0"/>
        <v>23400</v>
      </c>
      <c r="K171" s="4">
        <v>0.19</v>
      </c>
      <c r="L171" s="3">
        <f t="shared" si="1"/>
        <v>23444.46</v>
      </c>
      <c r="M171" s="3">
        <f t="shared" si="2"/>
        <v>11700</v>
      </c>
    </row>
    <row r="172" spans="1:13" ht="14.25" customHeight="1" x14ac:dyDescent="0.25">
      <c r="A172" s="3">
        <v>114</v>
      </c>
      <c r="B172" s="6">
        <v>45201</v>
      </c>
      <c r="C172" s="3" t="s">
        <v>13</v>
      </c>
      <c r="D172" s="3" t="s">
        <v>22</v>
      </c>
      <c r="E172" s="3" t="s">
        <v>15</v>
      </c>
      <c r="F172" s="3" t="s">
        <v>19</v>
      </c>
      <c r="G172" s="3">
        <v>1958</v>
      </c>
      <c r="H172" s="3">
        <v>5</v>
      </c>
      <c r="I172" s="3">
        <v>12</v>
      </c>
      <c r="J172" s="3">
        <f t="shared" si="0"/>
        <v>23496</v>
      </c>
      <c r="K172" s="4">
        <v>0.05</v>
      </c>
      <c r="L172" s="3">
        <f t="shared" si="1"/>
        <v>23507.748</v>
      </c>
      <c r="M172" s="3">
        <f t="shared" si="2"/>
        <v>9790</v>
      </c>
    </row>
    <row r="173" spans="1:13" ht="14.25" customHeight="1" x14ac:dyDescent="0.25">
      <c r="A173" s="3">
        <v>141</v>
      </c>
      <c r="B173" s="6">
        <v>44727</v>
      </c>
      <c r="C173" s="3" t="s">
        <v>24</v>
      </c>
      <c r="D173" s="3" t="s">
        <v>14</v>
      </c>
      <c r="E173" s="3" t="s">
        <v>15</v>
      </c>
      <c r="F173" s="3" t="s">
        <v>19</v>
      </c>
      <c r="G173" s="3">
        <v>1967</v>
      </c>
      <c r="H173" s="3">
        <v>5</v>
      </c>
      <c r="I173" s="3">
        <v>12</v>
      </c>
      <c r="J173" s="3">
        <f t="shared" si="0"/>
        <v>23604</v>
      </c>
      <c r="K173" s="4">
        <v>0.06</v>
      </c>
      <c r="L173" s="3">
        <f t="shared" si="1"/>
        <v>23618.162400000001</v>
      </c>
      <c r="M173" s="3">
        <f t="shared" si="2"/>
        <v>9835</v>
      </c>
    </row>
    <row r="174" spans="1:13" ht="14.25" customHeight="1" x14ac:dyDescent="0.25">
      <c r="A174" s="3">
        <v>61</v>
      </c>
      <c r="B174" s="6">
        <v>44845</v>
      </c>
      <c r="C174" s="3" t="s">
        <v>13</v>
      </c>
      <c r="D174" s="3" t="s">
        <v>14</v>
      </c>
      <c r="E174" s="3" t="s">
        <v>15</v>
      </c>
      <c r="F174" s="3" t="s">
        <v>19</v>
      </c>
      <c r="G174" s="3">
        <v>1830</v>
      </c>
      <c r="H174" s="3">
        <v>5</v>
      </c>
      <c r="I174" s="3">
        <v>13</v>
      </c>
      <c r="J174" s="3">
        <f t="shared" si="0"/>
        <v>23790</v>
      </c>
      <c r="K174" s="4">
        <v>0.04</v>
      </c>
      <c r="L174" s="3">
        <f t="shared" si="1"/>
        <v>23799.516</v>
      </c>
      <c r="M174" s="3">
        <f t="shared" si="2"/>
        <v>9150</v>
      </c>
    </row>
    <row r="175" spans="1:13" ht="14.25" customHeight="1" x14ac:dyDescent="0.25">
      <c r="A175" s="3">
        <v>155</v>
      </c>
      <c r="B175" s="6">
        <v>44240</v>
      </c>
      <c r="C175" s="3" t="s">
        <v>29</v>
      </c>
      <c r="D175" s="3" t="s">
        <v>20</v>
      </c>
      <c r="E175" s="3" t="s">
        <v>27</v>
      </c>
      <c r="F175" s="3" t="s">
        <v>19</v>
      </c>
      <c r="G175" s="3">
        <v>1138</v>
      </c>
      <c r="H175" s="3">
        <v>10</v>
      </c>
      <c r="I175" s="3">
        <v>21</v>
      </c>
      <c r="J175" s="3">
        <f t="shared" si="0"/>
        <v>23898</v>
      </c>
      <c r="K175" s="4">
        <v>0.08</v>
      </c>
      <c r="L175" s="3">
        <f t="shared" si="1"/>
        <v>23917.118399999999</v>
      </c>
      <c r="M175" s="3">
        <f t="shared" si="2"/>
        <v>11380</v>
      </c>
    </row>
    <row r="176" spans="1:13" ht="14.25" customHeight="1" x14ac:dyDescent="0.25">
      <c r="A176" s="3">
        <v>55</v>
      </c>
      <c r="B176" s="6">
        <v>44276</v>
      </c>
      <c r="C176" s="3" t="s">
        <v>23</v>
      </c>
      <c r="D176" s="3" t="s">
        <v>25</v>
      </c>
      <c r="E176" s="3" t="s">
        <v>18</v>
      </c>
      <c r="F176" s="3" t="s">
        <v>19</v>
      </c>
      <c r="G176" s="3">
        <v>2671</v>
      </c>
      <c r="H176" s="3">
        <v>3</v>
      </c>
      <c r="I176" s="3">
        <v>9</v>
      </c>
      <c r="J176" s="3">
        <f t="shared" si="0"/>
        <v>24039</v>
      </c>
      <c r="K176" s="4">
        <v>0.01</v>
      </c>
      <c r="L176" s="3">
        <f t="shared" si="1"/>
        <v>24041.403900000001</v>
      </c>
      <c r="M176" s="3">
        <f t="shared" si="2"/>
        <v>8013</v>
      </c>
    </row>
    <row r="177" spans="1:13" ht="14.25" customHeight="1" x14ac:dyDescent="0.25">
      <c r="A177" s="3">
        <v>224</v>
      </c>
      <c r="B177" s="6">
        <v>45878</v>
      </c>
      <c r="C177" s="3" t="s">
        <v>24</v>
      </c>
      <c r="D177" s="3" t="s">
        <v>17</v>
      </c>
      <c r="E177" s="3" t="s">
        <v>27</v>
      </c>
      <c r="F177" s="3" t="s">
        <v>21</v>
      </c>
      <c r="G177" s="3">
        <v>1153</v>
      </c>
      <c r="H177" s="3">
        <v>10</v>
      </c>
      <c r="I177" s="3">
        <v>21</v>
      </c>
      <c r="J177" s="3">
        <f t="shared" si="0"/>
        <v>24213</v>
      </c>
      <c r="K177" s="4">
        <v>0.15</v>
      </c>
      <c r="L177" s="3">
        <f t="shared" si="1"/>
        <v>24249.319500000001</v>
      </c>
      <c r="M177" s="3">
        <f t="shared" si="2"/>
        <v>11530</v>
      </c>
    </row>
    <row r="178" spans="1:13" ht="14.25" customHeight="1" x14ac:dyDescent="0.25">
      <c r="A178" s="3">
        <v>143</v>
      </c>
      <c r="B178" s="6">
        <v>45823</v>
      </c>
      <c r="C178" s="3" t="s">
        <v>26</v>
      </c>
      <c r="D178" s="3" t="s">
        <v>22</v>
      </c>
      <c r="E178" s="3" t="s">
        <v>15</v>
      </c>
      <c r="F178" s="3" t="s">
        <v>19</v>
      </c>
      <c r="G178" s="3">
        <v>2021</v>
      </c>
      <c r="H178" s="3">
        <v>5</v>
      </c>
      <c r="I178" s="3">
        <v>12</v>
      </c>
      <c r="J178" s="3">
        <f t="shared" si="0"/>
        <v>24252</v>
      </c>
      <c r="K178" s="4">
        <v>0.09</v>
      </c>
      <c r="L178" s="3">
        <f t="shared" si="1"/>
        <v>24273.826799999999</v>
      </c>
      <c r="M178" s="3">
        <f t="shared" si="2"/>
        <v>10105</v>
      </c>
    </row>
    <row r="179" spans="1:13" ht="14.25" customHeight="1" x14ac:dyDescent="0.25">
      <c r="A179" s="3">
        <v>450</v>
      </c>
      <c r="B179" s="6">
        <v>45059</v>
      </c>
      <c r="C179" s="3" t="s">
        <v>23</v>
      </c>
      <c r="D179" s="3" t="s">
        <v>22</v>
      </c>
      <c r="E179" s="3" t="s">
        <v>27</v>
      </c>
      <c r="F179" s="3" t="s">
        <v>16</v>
      </c>
      <c r="G179" s="3">
        <v>1013</v>
      </c>
      <c r="H179" s="3">
        <v>10</v>
      </c>
      <c r="I179" s="3">
        <v>24</v>
      </c>
      <c r="J179" s="3">
        <f t="shared" si="0"/>
        <v>24312</v>
      </c>
      <c r="K179" s="4">
        <v>0.2</v>
      </c>
      <c r="L179" s="3">
        <f t="shared" si="1"/>
        <v>24360.624</v>
      </c>
      <c r="M179" s="3">
        <f t="shared" si="2"/>
        <v>10130</v>
      </c>
    </row>
    <row r="180" spans="1:13" ht="14.25" customHeight="1" x14ac:dyDescent="0.25">
      <c r="A180" s="3">
        <v>211</v>
      </c>
      <c r="B180" s="6">
        <v>45883</v>
      </c>
      <c r="C180" s="3" t="s">
        <v>23</v>
      </c>
      <c r="D180" s="3" t="s">
        <v>17</v>
      </c>
      <c r="E180" s="3" t="s">
        <v>15</v>
      </c>
      <c r="F180" s="3" t="s">
        <v>21</v>
      </c>
      <c r="G180" s="3">
        <v>2723</v>
      </c>
      <c r="H180" s="3">
        <v>5</v>
      </c>
      <c r="I180" s="3">
        <v>9</v>
      </c>
      <c r="J180" s="3">
        <f t="shared" si="0"/>
        <v>24507</v>
      </c>
      <c r="K180" s="4">
        <v>0.11</v>
      </c>
      <c r="L180" s="3">
        <f t="shared" si="1"/>
        <v>24533.957699999999</v>
      </c>
      <c r="M180" s="3">
        <f t="shared" si="2"/>
        <v>13615</v>
      </c>
    </row>
    <row r="181" spans="1:13" ht="14.25" customHeight="1" x14ac:dyDescent="0.25">
      <c r="A181" s="3">
        <v>302</v>
      </c>
      <c r="B181" s="6">
        <v>45226</v>
      </c>
      <c r="C181" s="3" t="s">
        <v>13</v>
      </c>
      <c r="D181" s="3" t="s">
        <v>25</v>
      </c>
      <c r="E181" s="3" t="s">
        <v>15</v>
      </c>
      <c r="F181" s="3" t="s">
        <v>21</v>
      </c>
      <c r="G181" s="3">
        <v>1666</v>
      </c>
      <c r="H181" s="3">
        <v>5</v>
      </c>
      <c r="I181" s="3">
        <v>15</v>
      </c>
      <c r="J181" s="3">
        <f t="shared" si="0"/>
        <v>24990</v>
      </c>
      <c r="K181" s="4">
        <v>0.15</v>
      </c>
      <c r="L181" s="3">
        <f t="shared" si="1"/>
        <v>25027.485000000001</v>
      </c>
      <c r="M181" s="3">
        <f t="shared" si="2"/>
        <v>8330</v>
      </c>
    </row>
    <row r="182" spans="1:13" ht="14.25" customHeight="1" x14ac:dyDescent="0.25">
      <c r="A182" s="3">
        <v>268</v>
      </c>
      <c r="B182" s="6">
        <v>44208</v>
      </c>
      <c r="C182" s="3" t="s">
        <v>24</v>
      </c>
      <c r="D182" s="3" t="s">
        <v>25</v>
      </c>
      <c r="E182" s="3" t="s">
        <v>15</v>
      </c>
      <c r="F182" s="3" t="s">
        <v>21</v>
      </c>
      <c r="G182" s="3">
        <v>2501</v>
      </c>
      <c r="H182" s="3">
        <v>5</v>
      </c>
      <c r="I182" s="3">
        <v>10</v>
      </c>
      <c r="J182" s="3">
        <f t="shared" si="0"/>
        <v>25010</v>
      </c>
      <c r="K182" s="4">
        <v>0.11</v>
      </c>
      <c r="L182" s="3">
        <f t="shared" si="1"/>
        <v>25037.510999999999</v>
      </c>
      <c r="M182" s="3">
        <f t="shared" si="2"/>
        <v>12505</v>
      </c>
    </row>
    <row r="183" spans="1:13" ht="14.25" customHeight="1" x14ac:dyDescent="0.25">
      <c r="A183" s="3">
        <v>447</v>
      </c>
      <c r="B183" s="6">
        <v>45076</v>
      </c>
      <c r="C183" s="3" t="s">
        <v>24</v>
      </c>
      <c r="D183" s="3" t="s">
        <v>14</v>
      </c>
      <c r="E183" s="3" t="s">
        <v>27</v>
      </c>
      <c r="F183" s="3" t="s">
        <v>16</v>
      </c>
      <c r="G183" s="3">
        <v>1565</v>
      </c>
      <c r="H183" s="3">
        <v>10</v>
      </c>
      <c r="I183" s="3">
        <v>16</v>
      </c>
      <c r="J183" s="3">
        <f t="shared" si="0"/>
        <v>25040</v>
      </c>
      <c r="K183" s="4">
        <v>0.21</v>
      </c>
      <c r="L183" s="3">
        <f t="shared" si="1"/>
        <v>25092.583999999999</v>
      </c>
      <c r="M183" s="3">
        <f t="shared" si="2"/>
        <v>15650</v>
      </c>
    </row>
    <row r="184" spans="1:13" ht="14.25" customHeight="1" x14ac:dyDescent="0.25">
      <c r="A184" s="3">
        <v>123</v>
      </c>
      <c r="B184" s="6">
        <v>44726</v>
      </c>
      <c r="C184" s="3" t="s">
        <v>29</v>
      </c>
      <c r="D184" s="3" t="s">
        <v>22</v>
      </c>
      <c r="E184" s="3" t="s">
        <v>27</v>
      </c>
      <c r="F184" s="3" t="s">
        <v>19</v>
      </c>
      <c r="G184" s="3">
        <v>1570</v>
      </c>
      <c r="H184" s="3">
        <v>10</v>
      </c>
      <c r="I184" s="3">
        <v>16</v>
      </c>
      <c r="J184" s="3">
        <f t="shared" si="0"/>
        <v>25120</v>
      </c>
      <c r="K184" s="4">
        <v>0.02</v>
      </c>
      <c r="L184" s="3">
        <f t="shared" si="1"/>
        <v>25125.024000000001</v>
      </c>
      <c r="M184" s="3">
        <f t="shared" si="2"/>
        <v>15700</v>
      </c>
    </row>
    <row r="185" spans="1:13" ht="14.25" customHeight="1" x14ac:dyDescent="0.25">
      <c r="A185" s="3">
        <v>174</v>
      </c>
      <c r="B185" s="6">
        <v>45056</v>
      </c>
      <c r="C185" s="3" t="s">
        <v>24</v>
      </c>
      <c r="D185" s="3" t="s">
        <v>20</v>
      </c>
      <c r="E185" s="3" t="s">
        <v>18</v>
      </c>
      <c r="F185" s="3" t="s">
        <v>21</v>
      </c>
      <c r="G185" s="3">
        <v>2791</v>
      </c>
      <c r="H185" s="3">
        <v>3</v>
      </c>
      <c r="I185" s="3">
        <v>9</v>
      </c>
      <c r="J185" s="3">
        <f t="shared" si="0"/>
        <v>25119</v>
      </c>
      <c r="K185" s="4">
        <v>0.13</v>
      </c>
      <c r="L185" s="3">
        <f t="shared" si="1"/>
        <v>25151.654699999999</v>
      </c>
      <c r="M185" s="3">
        <f t="shared" si="2"/>
        <v>8373</v>
      </c>
    </row>
    <row r="186" spans="1:13" ht="14.25" customHeight="1" x14ac:dyDescent="0.25">
      <c r="A186" s="3">
        <v>147</v>
      </c>
      <c r="B186" s="6">
        <v>44663</v>
      </c>
      <c r="C186" s="3" t="s">
        <v>26</v>
      </c>
      <c r="D186" s="3" t="s">
        <v>22</v>
      </c>
      <c r="E186" s="3" t="s">
        <v>27</v>
      </c>
      <c r="F186" s="3" t="s">
        <v>19</v>
      </c>
      <c r="G186" s="3">
        <v>1414.5</v>
      </c>
      <c r="H186" s="3">
        <v>10</v>
      </c>
      <c r="I186" s="3">
        <v>18</v>
      </c>
      <c r="J186" s="3">
        <f t="shared" si="0"/>
        <v>25461</v>
      </c>
      <c r="K186" s="4">
        <v>0.01</v>
      </c>
      <c r="L186" s="3">
        <f t="shared" si="1"/>
        <v>25463.5461</v>
      </c>
      <c r="M186" s="3">
        <f t="shared" si="2"/>
        <v>14145</v>
      </c>
    </row>
    <row r="187" spans="1:13" ht="14.25" customHeight="1" x14ac:dyDescent="0.25">
      <c r="A187" s="3">
        <v>303</v>
      </c>
      <c r="B187" s="6">
        <v>44746</v>
      </c>
      <c r="C187" s="3" t="s">
        <v>23</v>
      </c>
      <c r="D187" s="3" t="s">
        <v>14</v>
      </c>
      <c r="E187" s="3" t="s">
        <v>15</v>
      </c>
      <c r="F187" s="3" t="s">
        <v>21</v>
      </c>
      <c r="G187" s="3">
        <v>2321</v>
      </c>
      <c r="H187" s="3">
        <v>5</v>
      </c>
      <c r="I187" s="3">
        <v>11</v>
      </c>
      <c r="J187" s="3">
        <f t="shared" si="0"/>
        <v>25531</v>
      </c>
      <c r="K187" s="4">
        <v>0.12</v>
      </c>
      <c r="L187" s="3">
        <f t="shared" si="1"/>
        <v>25561.637200000001</v>
      </c>
      <c r="M187" s="3">
        <f t="shared" si="2"/>
        <v>11605</v>
      </c>
    </row>
    <row r="188" spans="1:13" ht="14.25" customHeight="1" x14ac:dyDescent="0.25">
      <c r="A188" s="3">
        <v>82</v>
      </c>
      <c r="B188" s="6">
        <v>45629</v>
      </c>
      <c r="C188" s="3" t="s">
        <v>13</v>
      </c>
      <c r="D188" s="3" t="s">
        <v>14</v>
      </c>
      <c r="E188" s="3" t="s">
        <v>18</v>
      </c>
      <c r="F188" s="3" t="s">
        <v>19</v>
      </c>
      <c r="G188" s="3">
        <v>2852</v>
      </c>
      <c r="H188" s="3">
        <v>3</v>
      </c>
      <c r="I188" s="3">
        <v>9</v>
      </c>
      <c r="J188" s="3">
        <f t="shared" si="0"/>
        <v>25668</v>
      </c>
      <c r="K188" s="4">
        <v>0.02</v>
      </c>
      <c r="L188" s="3">
        <f t="shared" si="1"/>
        <v>25673.133600000001</v>
      </c>
      <c r="M188" s="3">
        <f t="shared" si="2"/>
        <v>8556</v>
      </c>
    </row>
    <row r="189" spans="1:13" ht="14.25" customHeight="1" x14ac:dyDescent="0.25">
      <c r="A189" s="3">
        <v>179</v>
      </c>
      <c r="B189" s="6">
        <v>45683</v>
      </c>
      <c r="C189" s="3" t="s">
        <v>23</v>
      </c>
      <c r="D189" s="3" t="s">
        <v>22</v>
      </c>
      <c r="E189" s="3" t="s">
        <v>15</v>
      </c>
      <c r="F189" s="3" t="s">
        <v>21</v>
      </c>
      <c r="G189" s="3">
        <v>2342</v>
      </c>
      <c r="H189" s="3">
        <v>5</v>
      </c>
      <c r="I189" s="3">
        <v>11</v>
      </c>
      <c r="J189" s="3">
        <f t="shared" si="0"/>
        <v>25762</v>
      </c>
      <c r="K189" s="4">
        <v>0.17</v>
      </c>
      <c r="L189" s="3">
        <f t="shared" si="1"/>
        <v>25805.795399999999</v>
      </c>
      <c r="M189" s="3">
        <f t="shared" si="2"/>
        <v>11710</v>
      </c>
    </row>
    <row r="190" spans="1:13" ht="14.25" customHeight="1" x14ac:dyDescent="0.25">
      <c r="A190" s="3">
        <v>439</v>
      </c>
      <c r="B190" s="6">
        <v>45083</v>
      </c>
      <c r="C190" s="3" t="s">
        <v>13</v>
      </c>
      <c r="D190" s="3" t="s">
        <v>17</v>
      </c>
      <c r="E190" s="3" t="s">
        <v>27</v>
      </c>
      <c r="F190" s="3" t="s">
        <v>16</v>
      </c>
      <c r="G190" s="3">
        <v>1438.5</v>
      </c>
      <c r="H190" s="3">
        <v>10</v>
      </c>
      <c r="I190" s="3">
        <v>18</v>
      </c>
      <c r="J190" s="3">
        <f t="shared" si="0"/>
        <v>25893</v>
      </c>
      <c r="K190" s="4">
        <v>0.21</v>
      </c>
      <c r="L190" s="3">
        <f t="shared" si="1"/>
        <v>25947.3753</v>
      </c>
      <c r="M190" s="3">
        <f t="shared" si="2"/>
        <v>14385</v>
      </c>
    </row>
    <row r="191" spans="1:13" ht="14.25" customHeight="1" x14ac:dyDescent="0.25">
      <c r="A191" s="3">
        <v>486</v>
      </c>
      <c r="B191" s="6">
        <v>45116</v>
      </c>
      <c r="C191" s="3" t="s">
        <v>13</v>
      </c>
      <c r="D191" s="3" t="s">
        <v>17</v>
      </c>
      <c r="E191" s="3" t="s">
        <v>27</v>
      </c>
      <c r="F191" s="3" t="s">
        <v>16</v>
      </c>
      <c r="G191" s="3">
        <v>1177</v>
      </c>
      <c r="H191" s="3">
        <v>10</v>
      </c>
      <c r="I191" s="3">
        <v>22</v>
      </c>
      <c r="J191" s="3">
        <f t="shared" si="0"/>
        <v>25894</v>
      </c>
      <c r="K191" s="4">
        <v>0.22</v>
      </c>
      <c r="L191" s="3">
        <f t="shared" si="1"/>
        <v>25950.966799999998</v>
      </c>
      <c r="M191" s="3">
        <f t="shared" si="2"/>
        <v>11770</v>
      </c>
    </row>
    <row r="192" spans="1:13" ht="14.25" customHeight="1" x14ac:dyDescent="0.25">
      <c r="A192" s="3">
        <v>11</v>
      </c>
      <c r="B192" s="6">
        <v>44886</v>
      </c>
      <c r="C192" s="3" t="s">
        <v>24</v>
      </c>
      <c r="D192" s="3" t="s">
        <v>20</v>
      </c>
      <c r="E192" s="3" t="s">
        <v>15</v>
      </c>
      <c r="F192" s="3" t="s">
        <v>28</v>
      </c>
      <c r="G192" s="3">
        <v>2470</v>
      </c>
      <c r="H192" s="3">
        <v>5</v>
      </c>
      <c r="I192" s="3">
        <v>11</v>
      </c>
      <c r="J192" s="3">
        <f t="shared" si="0"/>
        <v>27170</v>
      </c>
      <c r="K192" s="4">
        <v>0</v>
      </c>
      <c r="L192" s="3">
        <f t="shared" si="1"/>
        <v>27170</v>
      </c>
      <c r="M192" s="3">
        <f t="shared" si="2"/>
        <v>12350</v>
      </c>
    </row>
    <row r="193" spans="1:13" ht="14.25" customHeight="1" x14ac:dyDescent="0.25">
      <c r="A193" s="3">
        <v>390</v>
      </c>
      <c r="B193" s="6">
        <v>45011</v>
      </c>
      <c r="C193" s="3" t="s">
        <v>26</v>
      </c>
      <c r="D193" s="3" t="s">
        <v>14</v>
      </c>
      <c r="E193" s="3" t="s">
        <v>27</v>
      </c>
      <c r="F193" s="3" t="s">
        <v>16</v>
      </c>
      <c r="G193" s="3">
        <v>1366</v>
      </c>
      <c r="H193" s="3">
        <v>10</v>
      </c>
      <c r="I193" s="3">
        <v>20</v>
      </c>
      <c r="J193" s="3">
        <f t="shared" si="0"/>
        <v>27320</v>
      </c>
      <c r="K193" s="4">
        <v>0.25</v>
      </c>
      <c r="L193" s="3">
        <f t="shared" si="1"/>
        <v>27388.3</v>
      </c>
      <c r="M193" s="3">
        <f t="shared" si="2"/>
        <v>13660</v>
      </c>
    </row>
    <row r="194" spans="1:13" ht="14.25" customHeight="1" x14ac:dyDescent="0.25">
      <c r="A194" s="3">
        <v>89</v>
      </c>
      <c r="B194" s="6">
        <v>45225</v>
      </c>
      <c r="C194" s="3" t="s">
        <v>23</v>
      </c>
      <c r="D194" s="3" t="s">
        <v>17</v>
      </c>
      <c r="E194" s="3" t="s">
        <v>27</v>
      </c>
      <c r="F194" s="3" t="s">
        <v>19</v>
      </c>
      <c r="G194" s="3">
        <v>1142</v>
      </c>
      <c r="H194" s="3">
        <v>10</v>
      </c>
      <c r="I194" s="3">
        <v>24</v>
      </c>
      <c r="J194" s="3">
        <f t="shared" si="0"/>
        <v>27408</v>
      </c>
      <c r="K194" s="4">
        <v>0.05</v>
      </c>
      <c r="L194" s="3">
        <f t="shared" si="1"/>
        <v>27421.704000000002</v>
      </c>
      <c r="M194" s="3">
        <f t="shared" si="2"/>
        <v>11420</v>
      </c>
    </row>
    <row r="195" spans="1:13" ht="14.25" customHeight="1" x14ac:dyDescent="0.25">
      <c r="A195" s="3">
        <v>8</v>
      </c>
      <c r="B195" s="6">
        <v>44217</v>
      </c>
      <c r="C195" s="3" t="s">
        <v>23</v>
      </c>
      <c r="D195" s="3" t="s">
        <v>14</v>
      </c>
      <c r="E195" s="3" t="s">
        <v>15</v>
      </c>
      <c r="F195" s="3" t="s">
        <v>28</v>
      </c>
      <c r="G195" s="3">
        <v>2518</v>
      </c>
      <c r="H195" s="3">
        <v>5</v>
      </c>
      <c r="I195" s="3">
        <v>11</v>
      </c>
      <c r="J195" s="3">
        <f t="shared" si="0"/>
        <v>27698</v>
      </c>
      <c r="K195" s="4">
        <v>0</v>
      </c>
      <c r="L195" s="3">
        <f t="shared" si="1"/>
        <v>27698</v>
      </c>
      <c r="M195" s="3">
        <f t="shared" si="2"/>
        <v>12590</v>
      </c>
    </row>
    <row r="196" spans="1:13" ht="14.25" customHeight="1" x14ac:dyDescent="0.25">
      <c r="A196" s="3">
        <v>503</v>
      </c>
      <c r="B196" s="6">
        <v>44315</v>
      </c>
      <c r="C196" s="3" t="s">
        <v>13</v>
      </c>
      <c r="D196" s="3" t="s">
        <v>22</v>
      </c>
      <c r="E196" s="3" t="s">
        <v>27</v>
      </c>
      <c r="F196" s="3" t="s">
        <v>16</v>
      </c>
      <c r="G196" s="3">
        <v>1158</v>
      </c>
      <c r="H196" s="3">
        <v>10</v>
      </c>
      <c r="I196" s="3">
        <v>24</v>
      </c>
      <c r="J196" s="3">
        <f t="shared" si="0"/>
        <v>27792</v>
      </c>
      <c r="K196" s="4">
        <v>0.22</v>
      </c>
      <c r="L196" s="3">
        <f t="shared" si="1"/>
        <v>27853.142400000001</v>
      </c>
      <c r="M196" s="3">
        <f t="shared" si="2"/>
        <v>11580</v>
      </c>
    </row>
    <row r="197" spans="1:13" ht="14.25" customHeight="1" x14ac:dyDescent="0.25">
      <c r="A197" s="3">
        <v>310</v>
      </c>
      <c r="B197" s="6">
        <v>44424</v>
      </c>
      <c r="C197" s="3" t="s">
        <v>26</v>
      </c>
      <c r="D197" s="3" t="s">
        <v>25</v>
      </c>
      <c r="E197" s="3" t="s">
        <v>27</v>
      </c>
      <c r="F197" s="3" t="s">
        <v>21</v>
      </c>
      <c r="G197" s="3">
        <v>1324</v>
      </c>
      <c r="H197" s="3">
        <v>10</v>
      </c>
      <c r="I197" s="3">
        <v>21</v>
      </c>
      <c r="J197" s="3">
        <f t="shared" si="0"/>
        <v>27804</v>
      </c>
      <c r="K197" s="4">
        <v>0.18</v>
      </c>
      <c r="L197" s="3">
        <f t="shared" si="1"/>
        <v>27854.047200000001</v>
      </c>
      <c r="M197" s="3">
        <f t="shared" si="2"/>
        <v>13240</v>
      </c>
    </row>
    <row r="198" spans="1:13" ht="14.25" customHeight="1" x14ac:dyDescent="0.25">
      <c r="A198" s="3">
        <v>137</v>
      </c>
      <c r="B198" s="6">
        <v>45193</v>
      </c>
      <c r="C198" s="3" t="s">
        <v>24</v>
      </c>
      <c r="D198" s="3" t="s">
        <v>20</v>
      </c>
      <c r="E198" s="3" t="s">
        <v>15</v>
      </c>
      <c r="F198" s="3" t="s">
        <v>19</v>
      </c>
      <c r="G198" s="3">
        <v>2031</v>
      </c>
      <c r="H198" s="3">
        <v>5</v>
      </c>
      <c r="I198" s="3">
        <v>14</v>
      </c>
      <c r="J198" s="3">
        <f t="shared" si="0"/>
        <v>28434</v>
      </c>
      <c r="K198" s="4">
        <v>0.04</v>
      </c>
      <c r="L198" s="3">
        <f t="shared" si="1"/>
        <v>28445.373599999999</v>
      </c>
      <c r="M198" s="3">
        <f t="shared" si="2"/>
        <v>10155</v>
      </c>
    </row>
    <row r="199" spans="1:13" ht="14.25" customHeight="1" x14ac:dyDescent="0.25">
      <c r="A199" s="3">
        <v>206</v>
      </c>
      <c r="B199" s="6">
        <v>45674</v>
      </c>
      <c r="C199" s="3" t="s">
        <v>24</v>
      </c>
      <c r="D199" s="3" t="s">
        <v>14</v>
      </c>
      <c r="E199" s="3" t="s">
        <v>18</v>
      </c>
      <c r="F199" s="3" t="s">
        <v>21</v>
      </c>
      <c r="G199" s="3">
        <v>2844</v>
      </c>
      <c r="H199" s="3">
        <v>3</v>
      </c>
      <c r="I199" s="3">
        <v>10</v>
      </c>
      <c r="J199" s="3">
        <f t="shared" si="0"/>
        <v>28440</v>
      </c>
      <c r="K199" s="4">
        <v>0.18</v>
      </c>
      <c r="L199" s="3">
        <f t="shared" si="1"/>
        <v>28491.191999999999</v>
      </c>
      <c r="M199" s="3">
        <f t="shared" si="2"/>
        <v>8532</v>
      </c>
    </row>
    <row r="200" spans="1:13" ht="14.25" customHeight="1" x14ac:dyDescent="0.25">
      <c r="A200" s="3">
        <v>180</v>
      </c>
      <c r="B200" s="6">
        <v>44901</v>
      </c>
      <c r="C200" s="3" t="s">
        <v>13</v>
      </c>
      <c r="D200" s="3" t="s">
        <v>25</v>
      </c>
      <c r="E200" s="3" t="s">
        <v>27</v>
      </c>
      <c r="F200" s="3" t="s">
        <v>21</v>
      </c>
      <c r="G200" s="3">
        <v>1303</v>
      </c>
      <c r="H200" s="3">
        <v>10</v>
      </c>
      <c r="I200" s="3">
        <v>22</v>
      </c>
      <c r="J200" s="3">
        <f t="shared" si="0"/>
        <v>28666</v>
      </c>
      <c r="K200" s="4">
        <v>0.15</v>
      </c>
      <c r="L200" s="3">
        <f t="shared" si="1"/>
        <v>28708.999</v>
      </c>
      <c r="M200" s="3">
        <f t="shared" si="2"/>
        <v>13030</v>
      </c>
    </row>
    <row r="201" spans="1:13" ht="14.25" customHeight="1" x14ac:dyDescent="0.25">
      <c r="A201" s="3">
        <v>276</v>
      </c>
      <c r="B201" s="6">
        <v>44401</v>
      </c>
      <c r="C201" s="3" t="s">
        <v>13</v>
      </c>
      <c r="D201" s="3" t="s">
        <v>22</v>
      </c>
      <c r="E201" s="3" t="s">
        <v>27</v>
      </c>
      <c r="F201" s="3" t="s">
        <v>21</v>
      </c>
      <c r="G201" s="3">
        <v>1366</v>
      </c>
      <c r="H201" s="3">
        <v>10</v>
      </c>
      <c r="I201" s="3">
        <v>21</v>
      </c>
      <c r="J201" s="3">
        <f t="shared" si="0"/>
        <v>28686</v>
      </c>
      <c r="K201" s="4">
        <v>0.16</v>
      </c>
      <c r="L201" s="3">
        <f t="shared" si="1"/>
        <v>28731.8976</v>
      </c>
      <c r="M201" s="3">
        <f t="shared" si="2"/>
        <v>13660</v>
      </c>
    </row>
    <row r="202" spans="1:13" ht="14.25" customHeight="1" x14ac:dyDescent="0.25">
      <c r="A202" s="3">
        <v>25</v>
      </c>
      <c r="B202" s="6">
        <v>45938</v>
      </c>
      <c r="C202" s="3" t="s">
        <v>13</v>
      </c>
      <c r="D202" s="3" t="s">
        <v>22</v>
      </c>
      <c r="E202" s="3" t="s">
        <v>27</v>
      </c>
      <c r="F202" s="3" t="s">
        <v>28</v>
      </c>
      <c r="G202" s="3">
        <v>1513</v>
      </c>
      <c r="H202" s="3">
        <v>10</v>
      </c>
      <c r="I202" s="3">
        <v>19</v>
      </c>
      <c r="J202" s="3">
        <f t="shared" si="0"/>
        <v>28747</v>
      </c>
      <c r="K202" s="4">
        <v>0</v>
      </c>
      <c r="L202" s="3">
        <f t="shared" si="1"/>
        <v>28747</v>
      </c>
      <c r="M202" s="3">
        <f t="shared" si="2"/>
        <v>15130</v>
      </c>
    </row>
    <row r="203" spans="1:13" ht="14.25" customHeight="1" x14ac:dyDescent="0.25">
      <c r="A203" s="3">
        <v>24</v>
      </c>
      <c r="B203" s="6">
        <v>45421</v>
      </c>
      <c r="C203" s="3" t="s">
        <v>13</v>
      </c>
      <c r="D203" s="3" t="s">
        <v>14</v>
      </c>
      <c r="E203" s="3" t="s">
        <v>27</v>
      </c>
      <c r="F203" s="3" t="s">
        <v>28</v>
      </c>
      <c r="G203" s="3">
        <v>1817</v>
      </c>
      <c r="H203" s="3">
        <v>10</v>
      </c>
      <c r="I203" s="3">
        <v>16</v>
      </c>
      <c r="J203" s="3">
        <f t="shared" si="0"/>
        <v>29072</v>
      </c>
      <c r="K203" s="4">
        <v>0</v>
      </c>
      <c r="L203" s="3">
        <f t="shared" si="1"/>
        <v>29072</v>
      </c>
      <c r="M203" s="3">
        <f t="shared" si="2"/>
        <v>18170</v>
      </c>
    </row>
    <row r="204" spans="1:13" ht="14.25" customHeight="1" x14ac:dyDescent="0.25">
      <c r="A204" s="3">
        <v>504</v>
      </c>
      <c r="B204" s="6">
        <v>44624</v>
      </c>
      <c r="C204" s="3" t="s">
        <v>24</v>
      </c>
      <c r="D204" s="3" t="s">
        <v>14</v>
      </c>
      <c r="E204" s="3" t="s">
        <v>27</v>
      </c>
      <c r="F204" s="3" t="s">
        <v>16</v>
      </c>
      <c r="G204" s="3">
        <v>1614</v>
      </c>
      <c r="H204" s="3">
        <v>10</v>
      </c>
      <c r="I204" s="3">
        <v>18</v>
      </c>
      <c r="J204" s="3">
        <f t="shared" si="0"/>
        <v>29052</v>
      </c>
      <c r="K204" s="4">
        <v>0.25</v>
      </c>
      <c r="L204" s="3">
        <f t="shared" si="1"/>
        <v>29124.63</v>
      </c>
      <c r="M204" s="3">
        <f t="shared" si="2"/>
        <v>16140</v>
      </c>
    </row>
    <row r="205" spans="1:13" ht="14.25" customHeight="1" x14ac:dyDescent="0.25">
      <c r="A205" s="3">
        <v>12</v>
      </c>
      <c r="B205" s="6">
        <v>45610</v>
      </c>
      <c r="C205" s="3" t="s">
        <v>29</v>
      </c>
      <c r="D205" s="3" t="s">
        <v>14</v>
      </c>
      <c r="E205" s="3" t="s">
        <v>15</v>
      </c>
      <c r="F205" s="3" t="s">
        <v>28</v>
      </c>
      <c r="G205" s="3">
        <v>2665.5</v>
      </c>
      <c r="H205" s="3">
        <v>5</v>
      </c>
      <c r="I205" s="3">
        <v>11</v>
      </c>
      <c r="J205" s="3">
        <f t="shared" si="0"/>
        <v>29320.5</v>
      </c>
      <c r="K205" s="4">
        <v>0</v>
      </c>
      <c r="L205" s="3">
        <f t="shared" si="1"/>
        <v>29320.5</v>
      </c>
      <c r="M205" s="3">
        <f t="shared" si="2"/>
        <v>13327.5</v>
      </c>
    </row>
    <row r="206" spans="1:13" ht="14.25" customHeight="1" x14ac:dyDescent="0.25">
      <c r="A206" s="3">
        <v>124</v>
      </c>
      <c r="B206" s="6">
        <v>44298</v>
      </c>
      <c r="C206" s="3" t="s">
        <v>23</v>
      </c>
      <c r="D206" s="3" t="s">
        <v>17</v>
      </c>
      <c r="E206" s="3" t="s">
        <v>27</v>
      </c>
      <c r="F206" s="3" t="s">
        <v>19</v>
      </c>
      <c r="G206" s="3">
        <v>1369.5</v>
      </c>
      <c r="H206" s="3">
        <v>10</v>
      </c>
      <c r="I206" s="3">
        <v>22</v>
      </c>
      <c r="J206" s="3">
        <f t="shared" si="0"/>
        <v>30129</v>
      </c>
      <c r="K206" s="4">
        <v>0.02</v>
      </c>
      <c r="L206" s="3">
        <f t="shared" si="1"/>
        <v>30135.025799999999</v>
      </c>
      <c r="M206" s="3">
        <f t="shared" si="2"/>
        <v>13695</v>
      </c>
    </row>
    <row r="207" spans="1:13" ht="14.25" customHeight="1" x14ac:dyDescent="0.25">
      <c r="A207" s="3">
        <v>274</v>
      </c>
      <c r="B207" s="6">
        <v>45911</v>
      </c>
      <c r="C207" s="3" t="s">
        <v>13</v>
      </c>
      <c r="D207" s="3" t="s">
        <v>22</v>
      </c>
      <c r="E207" s="3" t="s">
        <v>27</v>
      </c>
      <c r="F207" s="3" t="s">
        <v>21</v>
      </c>
      <c r="G207" s="3">
        <v>1259</v>
      </c>
      <c r="H207" s="3">
        <v>10</v>
      </c>
      <c r="I207" s="3">
        <v>24</v>
      </c>
      <c r="J207" s="3">
        <f t="shared" si="0"/>
        <v>30216</v>
      </c>
      <c r="K207" s="4">
        <v>0.15</v>
      </c>
      <c r="L207" s="3">
        <f t="shared" si="1"/>
        <v>30261.324000000001</v>
      </c>
      <c r="M207" s="3">
        <f t="shared" si="2"/>
        <v>12590</v>
      </c>
    </row>
    <row r="208" spans="1:13" ht="14.25" customHeight="1" x14ac:dyDescent="0.25">
      <c r="A208" s="3">
        <v>231</v>
      </c>
      <c r="B208" s="6">
        <v>45441</v>
      </c>
      <c r="C208" s="3" t="s">
        <v>23</v>
      </c>
      <c r="D208" s="3" t="s">
        <v>25</v>
      </c>
      <c r="E208" s="3" t="s">
        <v>15</v>
      </c>
      <c r="F208" s="3" t="s">
        <v>21</v>
      </c>
      <c r="G208" s="3">
        <v>2342</v>
      </c>
      <c r="H208" s="3">
        <v>5</v>
      </c>
      <c r="I208" s="3">
        <v>13</v>
      </c>
      <c r="J208" s="3">
        <f t="shared" si="0"/>
        <v>30446</v>
      </c>
      <c r="K208" s="4">
        <v>0.19</v>
      </c>
      <c r="L208" s="3">
        <f t="shared" si="1"/>
        <v>30503.847399999999</v>
      </c>
      <c r="M208" s="3">
        <f t="shared" si="2"/>
        <v>11710</v>
      </c>
    </row>
    <row r="209" spans="1:13" ht="14.25" customHeight="1" x14ac:dyDescent="0.25">
      <c r="A209" s="3">
        <v>243</v>
      </c>
      <c r="B209" s="6">
        <v>45570</v>
      </c>
      <c r="C209" s="3" t="s">
        <v>26</v>
      </c>
      <c r="D209" s="3" t="s">
        <v>25</v>
      </c>
      <c r="E209" s="3" t="s">
        <v>15</v>
      </c>
      <c r="F209" s="3" t="s">
        <v>21</v>
      </c>
      <c r="G209" s="3">
        <v>2181</v>
      </c>
      <c r="H209" s="3">
        <v>5</v>
      </c>
      <c r="I209" s="3">
        <v>14</v>
      </c>
      <c r="J209" s="3">
        <f t="shared" si="0"/>
        <v>30534</v>
      </c>
      <c r="K209" s="4">
        <v>0.18</v>
      </c>
      <c r="L209" s="3">
        <f t="shared" si="1"/>
        <v>30588.961200000002</v>
      </c>
      <c r="M209" s="3">
        <f t="shared" si="2"/>
        <v>10905</v>
      </c>
    </row>
    <row r="210" spans="1:13" ht="14.25" customHeight="1" x14ac:dyDescent="0.25">
      <c r="A210" s="3">
        <v>469</v>
      </c>
      <c r="B210" s="6">
        <v>45097</v>
      </c>
      <c r="C210" s="3" t="s">
        <v>23</v>
      </c>
      <c r="D210" s="3" t="s">
        <v>25</v>
      </c>
      <c r="E210" s="3" t="s">
        <v>27</v>
      </c>
      <c r="F210" s="3" t="s">
        <v>16</v>
      </c>
      <c r="G210" s="3">
        <v>1393</v>
      </c>
      <c r="H210" s="3">
        <v>10</v>
      </c>
      <c r="I210" s="3">
        <v>22</v>
      </c>
      <c r="J210" s="3">
        <f t="shared" si="0"/>
        <v>30646</v>
      </c>
      <c r="K210" s="4">
        <v>0.2</v>
      </c>
      <c r="L210" s="3">
        <f t="shared" si="1"/>
        <v>30707.292000000001</v>
      </c>
      <c r="M210" s="3">
        <f t="shared" si="2"/>
        <v>13930</v>
      </c>
    </row>
    <row r="211" spans="1:13" ht="14.25" customHeight="1" x14ac:dyDescent="0.25">
      <c r="A211" s="3">
        <v>58</v>
      </c>
      <c r="B211" s="6">
        <v>45171</v>
      </c>
      <c r="C211" s="3" t="s">
        <v>24</v>
      </c>
      <c r="D211" s="3" t="s">
        <v>20</v>
      </c>
      <c r="E211" s="3" t="s">
        <v>15</v>
      </c>
      <c r="F211" s="3" t="s">
        <v>19</v>
      </c>
      <c r="G211" s="3">
        <v>2214</v>
      </c>
      <c r="H211" s="3">
        <v>5</v>
      </c>
      <c r="I211" s="3">
        <v>14</v>
      </c>
      <c r="J211" s="3">
        <f t="shared" si="0"/>
        <v>30996</v>
      </c>
      <c r="K211" s="4">
        <v>0.02</v>
      </c>
      <c r="L211" s="3">
        <f t="shared" si="1"/>
        <v>31002.199199999999</v>
      </c>
      <c r="M211" s="3">
        <f t="shared" si="2"/>
        <v>11070</v>
      </c>
    </row>
    <row r="212" spans="1:13" ht="14.25" customHeight="1" x14ac:dyDescent="0.25">
      <c r="A212" s="3">
        <v>468</v>
      </c>
      <c r="B212" s="6">
        <v>44485</v>
      </c>
      <c r="C212" s="3" t="s">
        <v>24</v>
      </c>
      <c r="D212" s="3" t="s">
        <v>17</v>
      </c>
      <c r="E212" s="3" t="s">
        <v>27</v>
      </c>
      <c r="F212" s="3" t="s">
        <v>16</v>
      </c>
      <c r="G212" s="3">
        <v>1767</v>
      </c>
      <c r="H212" s="3">
        <v>10</v>
      </c>
      <c r="I212" s="3">
        <v>18</v>
      </c>
      <c r="J212" s="3">
        <f t="shared" si="0"/>
        <v>31806</v>
      </c>
      <c r="K212" s="4">
        <v>0.23</v>
      </c>
      <c r="L212" s="3">
        <f t="shared" si="1"/>
        <v>31879.1538</v>
      </c>
      <c r="M212" s="3">
        <f t="shared" si="2"/>
        <v>17670</v>
      </c>
    </row>
    <row r="213" spans="1:13" ht="14.25" customHeight="1" x14ac:dyDescent="0.25">
      <c r="A213" s="3">
        <v>138</v>
      </c>
      <c r="B213" s="6">
        <v>45438</v>
      </c>
      <c r="C213" s="3" t="s">
        <v>24</v>
      </c>
      <c r="D213" s="3" t="s">
        <v>20</v>
      </c>
      <c r="E213" s="3" t="s">
        <v>27</v>
      </c>
      <c r="F213" s="3" t="s">
        <v>19</v>
      </c>
      <c r="G213" s="3">
        <v>2031</v>
      </c>
      <c r="H213" s="3">
        <v>10</v>
      </c>
      <c r="I213" s="3">
        <v>16</v>
      </c>
      <c r="J213" s="3">
        <f t="shared" si="0"/>
        <v>32496</v>
      </c>
      <c r="K213" s="4">
        <v>0.08</v>
      </c>
      <c r="L213" s="3">
        <f t="shared" si="1"/>
        <v>32521.996800000001</v>
      </c>
      <c r="M213" s="3">
        <f t="shared" si="2"/>
        <v>20310</v>
      </c>
    </row>
    <row r="214" spans="1:13" ht="14.25" customHeight="1" x14ac:dyDescent="0.25">
      <c r="A214" s="3">
        <v>410</v>
      </c>
      <c r="B214" s="6">
        <v>45827</v>
      </c>
      <c r="C214" s="3" t="s">
        <v>26</v>
      </c>
      <c r="D214" s="3" t="s">
        <v>22</v>
      </c>
      <c r="E214" s="3" t="s">
        <v>27</v>
      </c>
      <c r="F214" s="3" t="s">
        <v>16</v>
      </c>
      <c r="G214" s="3">
        <v>1359</v>
      </c>
      <c r="H214" s="3">
        <v>10</v>
      </c>
      <c r="I214" s="3">
        <v>24</v>
      </c>
      <c r="J214" s="3">
        <f t="shared" si="0"/>
        <v>32616</v>
      </c>
      <c r="K214" s="4">
        <v>0.23</v>
      </c>
      <c r="L214" s="3">
        <f t="shared" si="1"/>
        <v>32691.016800000001</v>
      </c>
      <c r="M214" s="3">
        <f t="shared" si="2"/>
        <v>13590</v>
      </c>
    </row>
    <row r="215" spans="1:13" ht="14.25" customHeight="1" x14ac:dyDescent="0.25">
      <c r="A215" s="3">
        <v>282</v>
      </c>
      <c r="B215" s="6">
        <v>45291</v>
      </c>
      <c r="C215" s="3" t="s">
        <v>13</v>
      </c>
      <c r="D215" s="3" t="s">
        <v>20</v>
      </c>
      <c r="E215" s="3" t="s">
        <v>27</v>
      </c>
      <c r="F215" s="3" t="s">
        <v>21</v>
      </c>
      <c r="G215" s="3">
        <v>1362</v>
      </c>
      <c r="H215" s="3">
        <v>10</v>
      </c>
      <c r="I215" s="3">
        <v>24</v>
      </c>
      <c r="J215" s="3">
        <f t="shared" si="0"/>
        <v>32688</v>
      </c>
      <c r="K215" s="4">
        <v>0.19</v>
      </c>
      <c r="L215" s="3">
        <f t="shared" si="1"/>
        <v>32750.107199999999</v>
      </c>
      <c r="M215" s="3">
        <f t="shared" si="2"/>
        <v>13620</v>
      </c>
    </row>
    <row r="216" spans="1:13" ht="14.25" customHeight="1" x14ac:dyDescent="0.25">
      <c r="A216" s="3">
        <v>477</v>
      </c>
      <c r="B216" s="6">
        <v>44462</v>
      </c>
      <c r="C216" s="3" t="s">
        <v>13</v>
      </c>
      <c r="D216" s="3" t="s">
        <v>14</v>
      </c>
      <c r="E216" s="3" t="s">
        <v>15</v>
      </c>
      <c r="F216" s="3" t="s">
        <v>16</v>
      </c>
      <c r="G216" s="3">
        <v>2227.5</v>
      </c>
      <c r="H216" s="3">
        <v>5</v>
      </c>
      <c r="I216" s="3">
        <v>15</v>
      </c>
      <c r="J216" s="3">
        <f t="shared" si="0"/>
        <v>33412.5</v>
      </c>
      <c r="K216" s="4">
        <v>0.23</v>
      </c>
      <c r="L216" s="3">
        <f t="shared" si="1"/>
        <v>33489.348749999997</v>
      </c>
      <c r="M216" s="3">
        <f t="shared" si="2"/>
        <v>11137.5</v>
      </c>
    </row>
    <row r="217" spans="1:13" ht="14.25" customHeight="1" x14ac:dyDescent="0.25">
      <c r="A217" s="3">
        <v>279</v>
      </c>
      <c r="B217" s="6">
        <v>45756</v>
      </c>
      <c r="C217" s="3" t="s">
        <v>13</v>
      </c>
      <c r="D217" s="3" t="s">
        <v>22</v>
      </c>
      <c r="E217" s="3" t="s">
        <v>27</v>
      </c>
      <c r="F217" s="3" t="s">
        <v>21</v>
      </c>
      <c r="G217" s="3">
        <v>1598</v>
      </c>
      <c r="H217" s="3">
        <v>10</v>
      </c>
      <c r="I217" s="3">
        <v>21</v>
      </c>
      <c r="J217" s="3">
        <f t="shared" si="0"/>
        <v>33558</v>
      </c>
      <c r="K217" s="4">
        <v>0.13</v>
      </c>
      <c r="L217" s="3">
        <f t="shared" si="1"/>
        <v>33601.625399999997</v>
      </c>
      <c r="M217" s="3">
        <f t="shared" si="2"/>
        <v>15980</v>
      </c>
    </row>
    <row r="218" spans="1:13" ht="14.25" customHeight="1" x14ac:dyDescent="0.25">
      <c r="A218" s="3">
        <v>244</v>
      </c>
      <c r="B218" s="6">
        <v>44958</v>
      </c>
      <c r="C218" s="3" t="s">
        <v>26</v>
      </c>
      <c r="D218" s="3" t="s">
        <v>14</v>
      </c>
      <c r="E218" s="3" t="s">
        <v>27</v>
      </c>
      <c r="F218" s="3" t="s">
        <v>21</v>
      </c>
      <c r="G218" s="3">
        <v>1702</v>
      </c>
      <c r="H218" s="3">
        <v>10</v>
      </c>
      <c r="I218" s="3">
        <v>20</v>
      </c>
      <c r="J218" s="3">
        <f t="shared" si="0"/>
        <v>34040</v>
      </c>
      <c r="K218" s="4">
        <v>0.12</v>
      </c>
      <c r="L218" s="3">
        <f t="shared" si="1"/>
        <v>34080.847999999998</v>
      </c>
      <c r="M218" s="3">
        <f t="shared" si="2"/>
        <v>17020</v>
      </c>
    </row>
    <row r="219" spans="1:13" ht="14.25" customHeight="1" x14ac:dyDescent="0.25">
      <c r="A219" s="3">
        <v>301</v>
      </c>
      <c r="B219" s="6">
        <v>45955</v>
      </c>
      <c r="C219" s="3" t="s">
        <v>26</v>
      </c>
      <c r="D219" s="3" t="s">
        <v>14</v>
      </c>
      <c r="E219" s="3" t="s">
        <v>15</v>
      </c>
      <c r="F219" s="3" t="s">
        <v>21</v>
      </c>
      <c r="G219" s="3">
        <v>3802.5</v>
      </c>
      <c r="H219" s="3">
        <v>5</v>
      </c>
      <c r="I219" s="3">
        <v>9</v>
      </c>
      <c r="J219" s="3">
        <f t="shared" si="0"/>
        <v>34222.5</v>
      </c>
      <c r="K219" s="4">
        <v>0.16</v>
      </c>
      <c r="L219" s="3">
        <f t="shared" si="1"/>
        <v>34277.256000000001</v>
      </c>
      <c r="M219" s="3">
        <f t="shared" si="2"/>
        <v>19012.5</v>
      </c>
    </row>
    <row r="220" spans="1:13" ht="14.25" customHeight="1" x14ac:dyDescent="0.25">
      <c r="A220" s="3">
        <v>47</v>
      </c>
      <c r="B220" s="6">
        <v>45939</v>
      </c>
      <c r="C220" s="3" t="s">
        <v>24</v>
      </c>
      <c r="D220" s="3" t="s">
        <v>25</v>
      </c>
      <c r="E220" s="3" t="s">
        <v>27</v>
      </c>
      <c r="F220" s="3" t="s">
        <v>19</v>
      </c>
      <c r="G220" s="3">
        <v>2296</v>
      </c>
      <c r="H220" s="3">
        <v>10</v>
      </c>
      <c r="I220" s="3">
        <v>15</v>
      </c>
      <c r="J220" s="3">
        <f t="shared" si="0"/>
        <v>34440</v>
      </c>
      <c r="K220" s="4">
        <v>0.09</v>
      </c>
      <c r="L220" s="3">
        <f t="shared" si="1"/>
        <v>34470.995999999999</v>
      </c>
      <c r="M220" s="3">
        <f t="shared" si="2"/>
        <v>22960</v>
      </c>
    </row>
    <row r="221" spans="1:13" ht="14.25" customHeight="1" x14ac:dyDescent="0.25">
      <c r="A221" s="3">
        <v>411</v>
      </c>
      <c r="B221" s="6">
        <v>45022</v>
      </c>
      <c r="C221" s="3" t="s">
        <v>26</v>
      </c>
      <c r="D221" s="3" t="s">
        <v>20</v>
      </c>
      <c r="E221" s="3" t="s">
        <v>27</v>
      </c>
      <c r="F221" s="3" t="s">
        <v>16</v>
      </c>
      <c r="G221" s="3">
        <v>2150</v>
      </c>
      <c r="H221" s="3">
        <v>10</v>
      </c>
      <c r="I221" s="3">
        <v>16</v>
      </c>
      <c r="J221" s="3">
        <f t="shared" si="0"/>
        <v>34400</v>
      </c>
      <c r="K221" s="4">
        <v>0.25</v>
      </c>
      <c r="L221" s="3">
        <f t="shared" si="1"/>
        <v>34486</v>
      </c>
      <c r="M221" s="3">
        <f t="shared" si="2"/>
        <v>21500</v>
      </c>
    </row>
    <row r="222" spans="1:13" ht="14.25" customHeight="1" x14ac:dyDescent="0.25">
      <c r="A222" s="3">
        <v>342</v>
      </c>
      <c r="B222" s="6">
        <v>44220</v>
      </c>
      <c r="C222" s="3" t="s">
        <v>29</v>
      </c>
      <c r="D222" s="3" t="s">
        <v>17</v>
      </c>
      <c r="E222" s="3" t="s">
        <v>18</v>
      </c>
      <c r="F222" s="3" t="s">
        <v>16</v>
      </c>
      <c r="G222" s="3">
        <v>3445.5</v>
      </c>
      <c r="H222" s="3">
        <v>3</v>
      </c>
      <c r="I222" s="3">
        <v>10</v>
      </c>
      <c r="J222" s="3">
        <f t="shared" si="0"/>
        <v>34455</v>
      </c>
      <c r="K222" s="4">
        <v>0.23</v>
      </c>
      <c r="L222" s="3">
        <f t="shared" si="1"/>
        <v>34534.246500000001</v>
      </c>
      <c r="M222" s="3">
        <f t="shared" si="2"/>
        <v>10336.5</v>
      </c>
    </row>
    <row r="223" spans="1:13" ht="14.25" customHeight="1" x14ac:dyDescent="0.25">
      <c r="A223" s="3">
        <v>484</v>
      </c>
      <c r="B223" s="6">
        <v>44329</v>
      </c>
      <c r="C223" s="3" t="s">
        <v>13</v>
      </c>
      <c r="D223" s="3" t="s">
        <v>25</v>
      </c>
      <c r="E223" s="3" t="s">
        <v>27</v>
      </c>
      <c r="F223" s="3" t="s">
        <v>16</v>
      </c>
      <c r="G223" s="3">
        <v>1731</v>
      </c>
      <c r="H223" s="3">
        <v>10</v>
      </c>
      <c r="I223" s="3">
        <v>20</v>
      </c>
      <c r="J223" s="3">
        <f t="shared" si="0"/>
        <v>34620</v>
      </c>
      <c r="K223" s="4">
        <v>0.23</v>
      </c>
      <c r="L223" s="3">
        <f t="shared" si="1"/>
        <v>34699.625999999997</v>
      </c>
      <c r="M223" s="3">
        <f t="shared" si="2"/>
        <v>17310</v>
      </c>
    </row>
    <row r="224" spans="1:13" ht="14.25" customHeight="1" x14ac:dyDescent="0.25">
      <c r="A224" s="3">
        <v>121</v>
      </c>
      <c r="B224" s="6">
        <v>45127</v>
      </c>
      <c r="C224" s="3" t="s">
        <v>23</v>
      </c>
      <c r="D224" s="3" t="s">
        <v>25</v>
      </c>
      <c r="E224" s="3" t="s">
        <v>27</v>
      </c>
      <c r="F224" s="3" t="s">
        <v>19</v>
      </c>
      <c r="G224" s="3">
        <v>1901</v>
      </c>
      <c r="H224" s="3">
        <v>10</v>
      </c>
      <c r="I224" s="3">
        <v>19</v>
      </c>
      <c r="J224" s="3">
        <f t="shared" si="0"/>
        <v>36119</v>
      </c>
      <c r="K224" s="4">
        <v>0.09</v>
      </c>
      <c r="L224" s="3">
        <f t="shared" si="1"/>
        <v>36151.507100000003</v>
      </c>
      <c r="M224" s="3">
        <f t="shared" si="2"/>
        <v>19010</v>
      </c>
    </row>
    <row r="225" spans="1:13" ht="14.25" customHeight="1" x14ac:dyDescent="0.25">
      <c r="A225" s="3">
        <v>88</v>
      </c>
      <c r="B225" s="6">
        <v>45818</v>
      </c>
      <c r="C225" s="3" t="s">
        <v>26</v>
      </c>
      <c r="D225" s="3" t="s">
        <v>22</v>
      </c>
      <c r="E225" s="3" t="s">
        <v>27</v>
      </c>
      <c r="F225" s="3" t="s">
        <v>19</v>
      </c>
      <c r="G225" s="3">
        <v>1728</v>
      </c>
      <c r="H225" s="3">
        <v>10</v>
      </c>
      <c r="I225" s="3">
        <v>21</v>
      </c>
      <c r="J225" s="3">
        <f t="shared" si="0"/>
        <v>36288</v>
      </c>
      <c r="K225" s="4">
        <v>0.04</v>
      </c>
      <c r="L225" s="3">
        <f t="shared" si="1"/>
        <v>36302.515200000002</v>
      </c>
      <c r="M225" s="3">
        <f t="shared" si="2"/>
        <v>17280</v>
      </c>
    </row>
    <row r="226" spans="1:13" ht="14.25" customHeight="1" x14ac:dyDescent="0.25">
      <c r="A226" s="3">
        <v>467</v>
      </c>
      <c r="B226" s="6">
        <v>46001</v>
      </c>
      <c r="C226" s="3" t="s">
        <v>13</v>
      </c>
      <c r="D226" s="3" t="s">
        <v>14</v>
      </c>
      <c r="E226" s="3" t="s">
        <v>27</v>
      </c>
      <c r="F226" s="3" t="s">
        <v>16</v>
      </c>
      <c r="G226" s="3">
        <v>2428</v>
      </c>
      <c r="H226" s="3">
        <v>10</v>
      </c>
      <c r="I226" s="3">
        <v>15</v>
      </c>
      <c r="J226" s="3">
        <f t="shared" si="0"/>
        <v>36420</v>
      </c>
      <c r="K226" s="4">
        <v>0.23</v>
      </c>
      <c r="L226" s="3">
        <f t="shared" si="1"/>
        <v>36503.766000000003</v>
      </c>
      <c r="M226" s="3">
        <f t="shared" si="2"/>
        <v>24280</v>
      </c>
    </row>
    <row r="227" spans="1:13" ht="14.25" customHeight="1" x14ac:dyDescent="0.25">
      <c r="A227" s="3">
        <v>409</v>
      </c>
      <c r="B227" s="6">
        <v>45508</v>
      </c>
      <c r="C227" s="3" t="s">
        <v>13</v>
      </c>
      <c r="D227" s="3" t="s">
        <v>25</v>
      </c>
      <c r="E227" s="3" t="s">
        <v>27</v>
      </c>
      <c r="F227" s="3" t="s">
        <v>16</v>
      </c>
      <c r="G227" s="3">
        <v>1594</v>
      </c>
      <c r="H227" s="3">
        <v>10</v>
      </c>
      <c r="I227" s="3">
        <v>23</v>
      </c>
      <c r="J227" s="3">
        <f t="shared" si="0"/>
        <v>36662</v>
      </c>
      <c r="K227" s="4">
        <v>0.22</v>
      </c>
      <c r="L227" s="3">
        <f t="shared" si="1"/>
        <v>36742.6564</v>
      </c>
      <c r="M227" s="3">
        <f t="shared" si="2"/>
        <v>15940</v>
      </c>
    </row>
    <row r="228" spans="1:13" ht="14.25" customHeight="1" x14ac:dyDescent="0.25">
      <c r="A228" s="3">
        <v>280</v>
      </c>
      <c r="B228" s="6">
        <v>45194</v>
      </c>
      <c r="C228" s="3" t="s">
        <v>13</v>
      </c>
      <c r="D228" s="3" t="s">
        <v>22</v>
      </c>
      <c r="E228" s="3" t="s">
        <v>27</v>
      </c>
      <c r="F228" s="3" t="s">
        <v>21</v>
      </c>
      <c r="G228" s="3">
        <v>1934</v>
      </c>
      <c r="H228" s="3">
        <v>10</v>
      </c>
      <c r="I228" s="3">
        <v>19</v>
      </c>
      <c r="J228" s="3">
        <f t="shared" si="0"/>
        <v>36746</v>
      </c>
      <c r="K228" s="4">
        <v>0.14000000000000001</v>
      </c>
      <c r="L228" s="3">
        <f t="shared" si="1"/>
        <v>36797.4444</v>
      </c>
      <c r="M228" s="3">
        <f t="shared" si="2"/>
        <v>19340</v>
      </c>
    </row>
    <row r="229" spans="1:13" ht="14.25" customHeight="1" x14ac:dyDescent="0.25">
      <c r="A229" s="3">
        <v>427</v>
      </c>
      <c r="B229" s="6">
        <v>44507</v>
      </c>
      <c r="C229" s="3" t="s">
        <v>13</v>
      </c>
      <c r="D229" s="3" t="s">
        <v>22</v>
      </c>
      <c r="E229" s="3" t="s">
        <v>27</v>
      </c>
      <c r="F229" s="3" t="s">
        <v>16</v>
      </c>
      <c r="G229" s="3">
        <v>1531</v>
      </c>
      <c r="H229" s="3">
        <v>10</v>
      </c>
      <c r="I229" s="3">
        <v>24</v>
      </c>
      <c r="J229" s="3">
        <f t="shared" si="0"/>
        <v>36744</v>
      </c>
      <c r="K229" s="4">
        <v>0.25</v>
      </c>
      <c r="L229" s="3">
        <f t="shared" si="1"/>
        <v>36835.86</v>
      </c>
      <c r="M229" s="3">
        <f t="shared" si="2"/>
        <v>15310</v>
      </c>
    </row>
    <row r="230" spans="1:13" ht="14.25" customHeight="1" x14ac:dyDescent="0.25">
      <c r="A230" s="3">
        <v>426</v>
      </c>
      <c r="B230" s="6">
        <v>45610</v>
      </c>
      <c r="C230" s="3" t="s">
        <v>23</v>
      </c>
      <c r="D230" s="3" t="s">
        <v>20</v>
      </c>
      <c r="E230" s="3" t="s">
        <v>15</v>
      </c>
      <c r="F230" s="3" t="s">
        <v>16</v>
      </c>
      <c r="G230" s="3">
        <v>2661</v>
      </c>
      <c r="H230" s="3">
        <v>5</v>
      </c>
      <c r="I230" s="3">
        <v>14</v>
      </c>
      <c r="J230" s="3">
        <f t="shared" si="0"/>
        <v>37254</v>
      </c>
      <c r="K230" s="4">
        <v>0.24</v>
      </c>
      <c r="L230" s="3">
        <f t="shared" si="1"/>
        <v>37343.409599999999</v>
      </c>
      <c r="M230" s="3">
        <f t="shared" si="2"/>
        <v>13305</v>
      </c>
    </row>
    <row r="231" spans="1:13" ht="14.25" customHeight="1" x14ac:dyDescent="0.25">
      <c r="A231" s="3">
        <v>127</v>
      </c>
      <c r="B231" s="6">
        <v>45128</v>
      </c>
      <c r="C231" s="3" t="s">
        <v>29</v>
      </c>
      <c r="D231" s="3" t="s">
        <v>22</v>
      </c>
      <c r="E231" s="3" t="s">
        <v>27</v>
      </c>
      <c r="F231" s="3" t="s">
        <v>19</v>
      </c>
      <c r="G231" s="3">
        <v>1706</v>
      </c>
      <c r="H231" s="3">
        <v>10</v>
      </c>
      <c r="I231" s="3">
        <v>22</v>
      </c>
      <c r="J231" s="3">
        <f t="shared" si="0"/>
        <v>37532</v>
      </c>
      <c r="K231" s="4">
        <v>0.01</v>
      </c>
      <c r="L231" s="3">
        <f t="shared" si="1"/>
        <v>37535.753199999999</v>
      </c>
      <c r="M231" s="3">
        <f t="shared" si="2"/>
        <v>17060</v>
      </c>
    </row>
    <row r="232" spans="1:13" ht="14.25" customHeight="1" x14ac:dyDescent="0.25">
      <c r="A232" s="3">
        <v>444</v>
      </c>
      <c r="B232" s="6">
        <v>44211</v>
      </c>
      <c r="C232" s="3" t="s">
        <v>29</v>
      </c>
      <c r="D232" s="3" t="s">
        <v>14</v>
      </c>
      <c r="E232" s="3" t="s">
        <v>27</v>
      </c>
      <c r="F232" s="3" t="s">
        <v>16</v>
      </c>
      <c r="G232" s="3">
        <v>1583</v>
      </c>
      <c r="H232" s="3">
        <v>10</v>
      </c>
      <c r="I232" s="3">
        <v>24</v>
      </c>
      <c r="J232" s="3">
        <f t="shared" si="0"/>
        <v>37992</v>
      </c>
      <c r="K232" s="4">
        <v>0.25</v>
      </c>
      <c r="L232" s="3">
        <f t="shared" si="1"/>
        <v>38086.980000000003</v>
      </c>
      <c r="M232" s="3">
        <f t="shared" si="2"/>
        <v>15830</v>
      </c>
    </row>
    <row r="233" spans="1:13" ht="14.25" customHeight="1" x14ac:dyDescent="0.25">
      <c r="A233" s="3">
        <v>110</v>
      </c>
      <c r="B233" s="6">
        <v>44857</v>
      </c>
      <c r="C233" s="3" t="s">
        <v>29</v>
      </c>
      <c r="D233" s="3" t="s">
        <v>25</v>
      </c>
      <c r="E233" s="3" t="s">
        <v>18</v>
      </c>
      <c r="F233" s="3" t="s">
        <v>19</v>
      </c>
      <c r="G233" s="3">
        <v>4243.5</v>
      </c>
      <c r="H233" s="3">
        <v>3</v>
      </c>
      <c r="I233" s="3">
        <v>9</v>
      </c>
      <c r="J233" s="3">
        <f t="shared" si="0"/>
        <v>38191.5</v>
      </c>
      <c r="K233" s="4">
        <v>0.03</v>
      </c>
      <c r="L233" s="3">
        <f t="shared" si="1"/>
        <v>38202.957450000002</v>
      </c>
      <c r="M233" s="3">
        <f t="shared" si="2"/>
        <v>12730.5</v>
      </c>
    </row>
    <row r="234" spans="1:13" ht="14.25" customHeight="1" x14ac:dyDescent="0.25">
      <c r="A234" s="3">
        <v>92</v>
      </c>
      <c r="B234" s="6">
        <v>45545</v>
      </c>
      <c r="C234" s="3" t="s">
        <v>26</v>
      </c>
      <c r="D234" s="3" t="s">
        <v>14</v>
      </c>
      <c r="E234" s="3" t="s">
        <v>27</v>
      </c>
      <c r="F234" s="3" t="s">
        <v>19</v>
      </c>
      <c r="G234" s="3">
        <v>1916</v>
      </c>
      <c r="H234" s="3">
        <v>10</v>
      </c>
      <c r="I234" s="3">
        <v>20</v>
      </c>
      <c r="J234" s="3">
        <f t="shared" si="0"/>
        <v>38320</v>
      </c>
      <c r="K234" s="4">
        <v>0.05</v>
      </c>
      <c r="L234" s="3">
        <f t="shared" si="1"/>
        <v>38339.160000000003</v>
      </c>
      <c r="M234" s="3">
        <f t="shared" si="2"/>
        <v>19160</v>
      </c>
    </row>
    <row r="235" spans="1:13" ht="14.25" customHeight="1" x14ac:dyDescent="0.25">
      <c r="A235" s="3">
        <v>404</v>
      </c>
      <c r="B235" s="6">
        <v>45640</v>
      </c>
      <c r="C235" s="3" t="s">
        <v>13</v>
      </c>
      <c r="D235" s="3" t="s">
        <v>14</v>
      </c>
      <c r="E235" s="3" t="s">
        <v>15</v>
      </c>
      <c r="F235" s="3" t="s">
        <v>16</v>
      </c>
      <c r="G235" s="3">
        <v>2734</v>
      </c>
      <c r="H235" s="3">
        <v>5</v>
      </c>
      <c r="I235" s="3">
        <v>14</v>
      </c>
      <c r="J235" s="3">
        <f t="shared" si="0"/>
        <v>38276</v>
      </c>
      <c r="K235" s="4">
        <v>0.24</v>
      </c>
      <c r="L235" s="3">
        <f t="shared" si="1"/>
        <v>38367.862399999998</v>
      </c>
      <c r="M235" s="3">
        <f t="shared" si="2"/>
        <v>13670</v>
      </c>
    </row>
    <row r="236" spans="1:13" ht="14.25" customHeight="1" x14ac:dyDescent="0.25">
      <c r="A236" s="3">
        <v>223</v>
      </c>
      <c r="B236" s="6">
        <v>44641</v>
      </c>
      <c r="C236" s="3" t="s">
        <v>24</v>
      </c>
      <c r="D236" s="3" t="s">
        <v>22</v>
      </c>
      <c r="E236" s="3" t="s">
        <v>27</v>
      </c>
      <c r="F236" s="3" t="s">
        <v>21</v>
      </c>
      <c r="G236" s="3">
        <v>1743</v>
      </c>
      <c r="H236" s="3">
        <v>10</v>
      </c>
      <c r="I236" s="3">
        <v>22</v>
      </c>
      <c r="J236" s="3">
        <f t="shared" si="0"/>
        <v>38346</v>
      </c>
      <c r="K236" s="4">
        <v>0.16</v>
      </c>
      <c r="L236" s="3">
        <f t="shared" si="1"/>
        <v>38407.353600000002</v>
      </c>
      <c r="M236" s="3">
        <f t="shared" si="2"/>
        <v>17430</v>
      </c>
    </row>
    <row r="237" spans="1:13" ht="14.25" customHeight="1" x14ac:dyDescent="0.25">
      <c r="A237" s="3">
        <v>247</v>
      </c>
      <c r="B237" s="6">
        <v>44635</v>
      </c>
      <c r="C237" s="3" t="s">
        <v>24</v>
      </c>
      <c r="D237" s="3" t="s">
        <v>25</v>
      </c>
      <c r="E237" s="3" t="s">
        <v>27</v>
      </c>
      <c r="F237" s="3" t="s">
        <v>21</v>
      </c>
      <c r="G237" s="3">
        <v>2101</v>
      </c>
      <c r="H237" s="3">
        <v>10</v>
      </c>
      <c r="I237" s="3">
        <v>19</v>
      </c>
      <c r="J237" s="3">
        <f t="shared" si="0"/>
        <v>39919</v>
      </c>
      <c r="K237" s="4">
        <v>0.16</v>
      </c>
      <c r="L237" s="3">
        <f t="shared" si="1"/>
        <v>39982.8704</v>
      </c>
      <c r="M237" s="3">
        <f t="shared" si="2"/>
        <v>21010</v>
      </c>
    </row>
    <row r="238" spans="1:13" ht="14.25" customHeight="1" x14ac:dyDescent="0.25">
      <c r="A238" s="3">
        <v>183</v>
      </c>
      <c r="B238" s="6">
        <v>44384</v>
      </c>
      <c r="C238" s="3" t="s">
        <v>26</v>
      </c>
      <c r="D238" s="3" t="s">
        <v>20</v>
      </c>
      <c r="E238" s="3" t="s">
        <v>27</v>
      </c>
      <c r="F238" s="3" t="s">
        <v>21</v>
      </c>
      <c r="G238" s="3">
        <v>1607</v>
      </c>
      <c r="H238" s="3">
        <v>10</v>
      </c>
      <c r="I238" s="3">
        <v>25</v>
      </c>
      <c r="J238" s="3">
        <f t="shared" si="0"/>
        <v>40175</v>
      </c>
      <c r="K238" s="4">
        <v>0.13</v>
      </c>
      <c r="L238" s="3">
        <f t="shared" si="1"/>
        <v>40227.227500000001</v>
      </c>
      <c r="M238" s="3">
        <f t="shared" si="2"/>
        <v>16070</v>
      </c>
    </row>
    <row r="239" spans="1:13" ht="14.25" customHeight="1" x14ac:dyDescent="0.25">
      <c r="A239" s="3">
        <v>353</v>
      </c>
      <c r="B239" s="6">
        <v>44930</v>
      </c>
      <c r="C239" s="3" t="s">
        <v>13</v>
      </c>
      <c r="D239" s="3" t="s">
        <v>22</v>
      </c>
      <c r="E239" s="3" t="s">
        <v>30</v>
      </c>
      <c r="F239" s="3" t="s">
        <v>16</v>
      </c>
      <c r="G239" s="3">
        <v>241</v>
      </c>
      <c r="H239" s="3">
        <v>120</v>
      </c>
      <c r="I239" s="3">
        <v>167</v>
      </c>
      <c r="J239" s="3">
        <f t="shared" si="0"/>
        <v>40247</v>
      </c>
      <c r="K239" s="4">
        <v>0.24</v>
      </c>
      <c r="L239" s="3">
        <f t="shared" si="1"/>
        <v>40343.592799999999</v>
      </c>
      <c r="M239" s="3">
        <f t="shared" si="2"/>
        <v>28920</v>
      </c>
    </row>
    <row r="240" spans="1:13" ht="14.25" customHeight="1" x14ac:dyDescent="0.25">
      <c r="A240" s="3">
        <v>182</v>
      </c>
      <c r="B240" s="6">
        <v>44428</v>
      </c>
      <c r="C240" s="3" t="s">
        <v>29</v>
      </c>
      <c r="D240" s="3" t="s">
        <v>25</v>
      </c>
      <c r="E240" s="3" t="s">
        <v>27</v>
      </c>
      <c r="F240" s="3" t="s">
        <v>21</v>
      </c>
      <c r="G240" s="3">
        <v>2385</v>
      </c>
      <c r="H240" s="3">
        <v>10</v>
      </c>
      <c r="I240" s="3">
        <v>17</v>
      </c>
      <c r="J240" s="3">
        <f t="shared" si="0"/>
        <v>40545</v>
      </c>
      <c r="K240" s="4">
        <v>0.1</v>
      </c>
      <c r="L240" s="3">
        <f t="shared" si="1"/>
        <v>40585.544999999998</v>
      </c>
      <c r="M240" s="3">
        <f t="shared" si="2"/>
        <v>23850</v>
      </c>
    </row>
    <row r="241" spans="1:13" ht="14.25" customHeight="1" x14ac:dyDescent="0.25">
      <c r="A241" s="3">
        <v>345</v>
      </c>
      <c r="B241" s="6">
        <v>45589</v>
      </c>
      <c r="C241" s="3" t="s">
        <v>13</v>
      </c>
      <c r="D241" s="3" t="s">
        <v>25</v>
      </c>
      <c r="E241" s="3" t="s">
        <v>27</v>
      </c>
      <c r="F241" s="3" t="s">
        <v>16</v>
      </c>
      <c r="G241" s="3">
        <v>1954</v>
      </c>
      <c r="H241" s="3">
        <v>10</v>
      </c>
      <c r="I241" s="3">
        <v>21</v>
      </c>
      <c r="J241" s="3">
        <f t="shared" si="0"/>
        <v>41034</v>
      </c>
      <c r="K241" s="4">
        <v>0.22</v>
      </c>
      <c r="L241" s="3">
        <f t="shared" si="1"/>
        <v>41124.274799999999</v>
      </c>
      <c r="M241" s="3">
        <f t="shared" si="2"/>
        <v>19540</v>
      </c>
    </row>
    <row r="242" spans="1:13" ht="14.25" customHeight="1" x14ac:dyDescent="0.25">
      <c r="A242" s="3">
        <v>304</v>
      </c>
      <c r="B242" s="6">
        <v>44365</v>
      </c>
      <c r="C242" s="3" t="s">
        <v>29</v>
      </c>
      <c r="D242" s="3" t="s">
        <v>17</v>
      </c>
      <c r="E242" s="3" t="s">
        <v>15</v>
      </c>
      <c r="F242" s="3" t="s">
        <v>21</v>
      </c>
      <c r="G242" s="3">
        <v>2797</v>
      </c>
      <c r="H242" s="3">
        <v>5</v>
      </c>
      <c r="I242" s="3">
        <v>15</v>
      </c>
      <c r="J242" s="3">
        <f t="shared" si="0"/>
        <v>41955</v>
      </c>
      <c r="K242" s="4">
        <v>0.16</v>
      </c>
      <c r="L242" s="3">
        <f t="shared" si="1"/>
        <v>42022.127999999997</v>
      </c>
      <c r="M242" s="3">
        <f t="shared" si="2"/>
        <v>13985</v>
      </c>
    </row>
    <row r="243" spans="1:13" ht="14.25" customHeight="1" x14ac:dyDescent="0.25">
      <c r="A243" s="3">
        <v>384</v>
      </c>
      <c r="B243" s="6">
        <v>44833</v>
      </c>
      <c r="C243" s="3" t="s">
        <v>13</v>
      </c>
      <c r="D243" s="3" t="s">
        <v>14</v>
      </c>
      <c r="E243" s="3" t="s">
        <v>27</v>
      </c>
      <c r="F243" s="3" t="s">
        <v>16</v>
      </c>
      <c r="G243" s="3">
        <v>2104.5</v>
      </c>
      <c r="H243" s="3">
        <v>10</v>
      </c>
      <c r="I243" s="3">
        <v>20</v>
      </c>
      <c r="J243" s="3">
        <f t="shared" si="0"/>
        <v>42090</v>
      </c>
      <c r="K243" s="4">
        <v>0.22</v>
      </c>
      <c r="L243" s="3">
        <f t="shared" si="1"/>
        <v>42182.597999999998</v>
      </c>
      <c r="M243" s="3">
        <f t="shared" si="2"/>
        <v>21045</v>
      </c>
    </row>
    <row r="244" spans="1:13" ht="14.25" customHeight="1" x14ac:dyDescent="0.25">
      <c r="A244" s="3">
        <v>443</v>
      </c>
      <c r="B244" s="6">
        <v>45018</v>
      </c>
      <c r="C244" s="3" t="s">
        <v>13</v>
      </c>
      <c r="D244" s="3" t="s">
        <v>14</v>
      </c>
      <c r="E244" s="3" t="s">
        <v>27</v>
      </c>
      <c r="F244" s="3" t="s">
        <v>16</v>
      </c>
      <c r="G244" s="3">
        <v>2632</v>
      </c>
      <c r="H244" s="3">
        <v>10</v>
      </c>
      <c r="I244" s="3">
        <v>16</v>
      </c>
      <c r="J244" s="3">
        <f t="shared" si="0"/>
        <v>42112</v>
      </c>
      <c r="K244" s="4">
        <v>0.21</v>
      </c>
      <c r="L244" s="3">
        <f t="shared" si="1"/>
        <v>42200.4352</v>
      </c>
      <c r="M244" s="3">
        <f t="shared" si="2"/>
        <v>26320</v>
      </c>
    </row>
    <row r="245" spans="1:13" ht="14.25" customHeight="1" x14ac:dyDescent="0.25">
      <c r="A245" s="3">
        <v>93</v>
      </c>
      <c r="B245" s="6">
        <v>45570</v>
      </c>
      <c r="C245" s="3" t="s">
        <v>13</v>
      </c>
      <c r="D245" s="3" t="s">
        <v>14</v>
      </c>
      <c r="E245" s="3" t="s">
        <v>27</v>
      </c>
      <c r="F245" s="3" t="s">
        <v>19</v>
      </c>
      <c r="G245" s="3">
        <v>2852</v>
      </c>
      <c r="H245" s="3">
        <v>10</v>
      </c>
      <c r="I245" s="3">
        <v>15</v>
      </c>
      <c r="J245" s="3">
        <f t="shared" si="0"/>
        <v>42780</v>
      </c>
      <c r="K245" s="4">
        <v>0.09</v>
      </c>
      <c r="L245" s="3">
        <f t="shared" si="1"/>
        <v>42818.502</v>
      </c>
      <c r="M245" s="3">
        <f t="shared" si="2"/>
        <v>28520</v>
      </c>
    </row>
    <row r="246" spans="1:13" ht="14.25" customHeight="1" x14ac:dyDescent="0.25">
      <c r="A246" s="3">
        <v>506</v>
      </c>
      <c r="B246" s="6">
        <v>45433</v>
      </c>
      <c r="C246" s="3" t="s">
        <v>13</v>
      </c>
      <c r="D246" s="3" t="s">
        <v>20</v>
      </c>
      <c r="E246" s="3" t="s">
        <v>27</v>
      </c>
      <c r="F246" s="3" t="s">
        <v>16</v>
      </c>
      <c r="G246" s="3">
        <v>2851</v>
      </c>
      <c r="H246" s="3">
        <v>10</v>
      </c>
      <c r="I246" s="3">
        <v>15</v>
      </c>
      <c r="J246" s="3">
        <f t="shared" si="0"/>
        <v>42765</v>
      </c>
      <c r="K246" s="4">
        <v>0.25</v>
      </c>
      <c r="L246" s="3">
        <f t="shared" si="1"/>
        <v>42871.912499999999</v>
      </c>
      <c r="M246" s="3">
        <f t="shared" si="2"/>
        <v>28510</v>
      </c>
    </row>
    <row r="247" spans="1:13" ht="14.25" customHeight="1" x14ac:dyDescent="0.25">
      <c r="A247" s="3">
        <v>312</v>
      </c>
      <c r="B247" s="6">
        <v>45897</v>
      </c>
      <c r="C247" s="3" t="s">
        <v>24</v>
      </c>
      <c r="D247" s="3" t="s">
        <v>20</v>
      </c>
      <c r="E247" s="3" t="s">
        <v>30</v>
      </c>
      <c r="F247" s="3" t="s">
        <v>21</v>
      </c>
      <c r="G247" s="3">
        <v>245</v>
      </c>
      <c r="H247" s="3">
        <v>120</v>
      </c>
      <c r="I247" s="3">
        <v>175</v>
      </c>
      <c r="J247" s="3">
        <f t="shared" si="0"/>
        <v>42875</v>
      </c>
      <c r="K247" s="4">
        <v>0.19</v>
      </c>
      <c r="L247" s="3">
        <f t="shared" si="1"/>
        <v>42956.462500000001</v>
      </c>
      <c r="M247" s="3">
        <f t="shared" si="2"/>
        <v>29400</v>
      </c>
    </row>
    <row r="248" spans="1:13" ht="14.25" customHeight="1" x14ac:dyDescent="0.25">
      <c r="A248" s="3">
        <v>306</v>
      </c>
      <c r="B248" s="6">
        <v>44369</v>
      </c>
      <c r="C248" s="3" t="s">
        <v>13</v>
      </c>
      <c r="D248" s="3" t="s">
        <v>20</v>
      </c>
      <c r="E248" s="3" t="s">
        <v>27</v>
      </c>
      <c r="F248" s="3" t="s">
        <v>21</v>
      </c>
      <c r="G248" s="3">
        <v>2417</v>
      </c>
      <c r="H248" s="3">
        <v>10</v>
      </c>
      <c r="I248" s="3">
        <v>18</v>
      </c>
      <c r="J248" s="3">
        <f t="shared" si="0"/>
        <v>43506</v>
      </c>
      <c r="K248" s="4">
        <v>0.1</v>
      </c>
      <c r="L248" s="3">
        <f t="shared" si="1"/>
        <v>43549.506000000001</v>
      </c>
      <c r="M248" s="3">
        <f t="shared" si="2"/>
        <v>24170</v>
      </c>
    </row>
    <row r="249" spans="1:13" ht="14.25" customHeight="1" x14ac:dyDescent="0.25">
      <c r="A249" s="3">
        <v>152</v>
      </c>
      <c r="B249" s="6">
        <v>45304</v>
      </c>
      <c r="C249" s="3" t="s">
        <v>13</v>
      </c>
      <c r="D249" s="3" t="s">
        <v>14</v>
      </c>
      <c r="E249" s="3" t="s">
        <v>27</v>
      </c>
      <c r="F249" s="3" t="s">
        <v>19</v>
      </c>
      <c r="G249" s="3">
        <v>2074</v>
      </c>
      <c r="H249" s="3">
        <v>10</v>
      </c>
      <c r="I249" s="3">
        <v>21</v>
      </c>
      <c r="J249" s="3">
        <f t="shared" si="0"/>
        <v>43554</v>
      </c>
      <c r="K249" s="4">
        <v>7.0000000000000007E-2</v>
      </c>
      <c r="L249" s="3">
        <f t="shared" si="1"/>
        <v>43584.487800000003</v>
      </c>
      <c r="M249" s="3">
        <f t="shared" si="2"/>
        <v>20740</v>
      </c>
    </row>
    <row r="250" spans="1:13" ht="14.25" customHeight="1" x14ac:dyDescent="0.25">
      <c r="A250" s="3">
        <v>66</v>
      </c>
      <c r="B250" s="6">
        <v>45891</v>
      </c>
      <c r="C250" s="3" t="s">
        <v>29</v>
      </c>
      <c r="D250" s="3" t="s">
        <v>20</v>
      </c>
      <c r="E250" s="3" t="s">
        <v>27</v>
      </c>
      <c r="F250" s="3" t="s">
        <v>19</v>
      </c>
      <c r="G250" s="3">
        <v>1823</v>
      </c>
      <c r="H250" s="3">
        <v>10</v>
      </c>
      <c r="I250" s="3">
        <v>24</v>
      </c>
      <c r="J250" s="3">
        <f t="shared" si="0"/>
        <v>43752</v>
      </c>
      <c r="K250" s="4">
        <v>0.08</v>
      </c>
      <c r="L250" s="3">
        <f t="shared" si="1"/>
        <v>43787.001600000003</v>
      </c>
      <c r="M250" s="3">
        <f t="shared" si="2"/>
        <v>18230</v>
      </c>
    </row>
    <row r="251" spans="1:13" ht="14.25" customHeight="1" x14ac:dyDescent="0.25">
      <c r="A251" s="3">
        <v>165</v>
      </c>
      <c r="B251" s="6">
        <v>44596</v>
      </c>
      <c r="C251" s="3" t="s">
        <v>23</v>
      </c>
      <c r="D251" s="3" t="s">
        <v>14</v>
      </c>
      <c r="E251" s="3" t="s">
        <v>27</v>
      </c>
      <c r="F251" s="3" t="s">
        <v>21</v>
      </c>
      <c r="G251" s="3">
        <v>2431</v>
      </c>
      <c r="H251" s="3">
        <v>10</v>
      </c>
      <c r="I251" s="3">
        <v>18</v>
      </c>
      <c r="J251" s="3">
        <f t="shared" si="0"/>
        <v>43758</v>
      </c>
      <c r="K251" s="4">
        <v>0.11</v>
      </c>
      <c r="L251" s="3">
        <f t="shared" si="1"/>
        <v>43806.133800000003</v>
      </c>
      <c r="M251" s="3">
        <f t="shared" si="2"/>
        <v>24310</v>
      </c>
    </row>
    <row r="252" spans="1:13" ht="14.25" customHeight="1" x14ac:dyDescent="0.25">
      <c r="A252" s="3">
        <v>277</v>
      </c>
      <c r="B252" s="6">
        <v>45446</v>
      </c>
      <c r="C252" s="3" t="s">
        <v>26</v>
      </c>
      <c r="D252" s="3" t="s">
        <v>20</v>
      </c>
      <c r="E252" s="3" t="s">
        <v>27</v>
      </c>
      <c r="F252" s="3" t="s">
        <v>21</v>
      </c>
      <c r="G252" s="3">
        <v>2460</v>
      </c>
      <c r="H252" s="3">
        <v>10</v>
      </c>
      <c r="I252" s="3">
        <v>18</v>
      </c>
      <c r="J252" s="3">
        <f t="shared" si="0"/>
        <v>44280</v>
      </c>
      <c r="K252" s="4">
        <v>0.16</v>
      </c>
      <c r="L252" s="3">
        <f t="shared" si="1"/>
        <v>44350.847999999998</v>
      </c>
      <c r="M252" s="3">
        <f t="shared" si="2"/>
        <v>24600</v>
      </c>
    </row>
    <row r="253" spans="1:13" ht="14.25" customHeight="1" x14ac:dyDescent="0.25">
      <c r="A253" s="3">
        <v>120</v>
      </c>
      <c r="B253" s="6">
        <v>45648</v>
      </c>
      <c r="C253" s="3" t="s">
        <v>29</v>
      </c>
      <c r="D253" s="3" t="s">
        <v>14</v>
      </c>
      <c r="E253" s="3" t="s">
        <v>27</v>
      </c>
      <c r="F253" s="3" t="s">
        <v>19</v>
      </c>
      <c r="G253" s="3">
        <v>1774</v>
      </c>
      <c r="H253" s="3">
        <v>10</v>
      </c>
      <c r="I253" s="3">
        <v>25</v>
      </c>
      <c r="J253" s="3">
        <f t="shared" si="0"/>
        <v>44350</v>
      </c>
      <c r="K253" s="4">
        <v>7.0000000000000007E-2</v>
      </c>
      <c r="L253" s="3">
        <f t="shared" si="1"/>
        <v>44381.044999999998</v>
      </c>
      <c r="M253" s="3">
        <f t="shared" si="2"/>
        <v>17740</v>
      </c>
    </row>
    <row r="254" spans="1:13" ht="14.25" customHeight="1" x14ac:dyDescent="0.25">
      <c r="A254" s="3">
        <v>86</v>
      </c>
      <c r="B254" s="6">
        <v>45271</v>
      </c>
      <c r="C254" s="3" t="s">
        <v>24</v>
      </c>
      <c r="D254" s="3" t="s">
        <v>14</v>
      </c>
      <c r="E254" s="3" t="s">
        <v>27</v>
      </c>
      <c r="F254" s="3" t="s">
        <v>19</v>
      </c>
      <c r="G254" s="3">
        <v>2363</v>
      </c>
      <c r="H254" s="3">
        <v>10</v>
      </c>
      <c r="I254" s="3">
        <v>19</v>
      </c>
      <c r="J254" s="3">
        <f t="shared" si="0"/>
        <v>44897</v>
      </c>
      <c r="K254" s="4">
        <v>0.03</v>
      </c>
      <c r="L254" s="3">
        <f t="shared" si="1"/>
        <v>44910.469100000002</v>
      </c>
      <c r="M254" s="3">
        <f t="shared" si="2"/>
        <v>23630</v>
      </c>
    </row>
    <row r="255" spans="1:13" ht="14.25" customHeight="1" x14ac:dyDescent="0.25">
      <c r="A255" s="3">
        <v>388</v>
      </c>
      <c r="B255" s="6">
        <v>44240</v>
      </c>
      <c r="C255" s="3" t="s">
        <v>24</v>
      </c>
      <c r="D255" s="3" t="s">
        <v>20</v>
      </c>
      <c r="E255" s="3" t="s">
        <v>27</v>
      </c>
      <c r="F255" s="3" t="s">
        <v>16</v>
      </c>
      <c r="G255" s="3">
        <v>1984</v>
      </c>
      <c r="H255" s="3">
        <v>10</v>
      </c>
      <c r="I255" s="3">
        <v>23</v>
      </c>
      <c r="J255" s="3">
        <f t="shared" si="0"/>
        <v>45632</v>
      </c>
      <c r="K255" s="4">
        <v>0.23</v>
      </c>
      <c r="L255" s="3">
        <f t="shared" si="1"/>
        <v>45736.953600000001</v>
      </c>
      <c r="M255" s="3">
        <f t="shared" si="2"/>
        <v>19840</v>
      </c>
    </row>
    <row r="256" spans="1:13" ht="14.25" customHeight="1" x14ac:dyDescent="0.25">
      <c r="A256" s="3">
        <v>187</v>
      </c>
      <c r="B256" s="6">
        <v>45727</v>
      </c>
      <c r="C256" s="3" t="s">
        <v>24</v>
      </c>
      <c r="D256" s="3" t="s">
        <v>25</v>
      </c>
      <c r="E256" s="3" t="s">
        <v>27</v>
      </c>
      <c r="F256" s="3" t="s">
        <v>21</v>
      </c>
      <c r="G256" s="3">
        <v>2620</v>
      </c>
      <c r="H256" s="3">
        <v>10</v>
      </c>
      <c r="I256" s="3">
        <v>18</v>
      </c>
      <c r="J256" s="3">
        <f t="shared" si="0"/>
        <v>47160</v>
      </c>
      <c r="K256" s="4">
        <v>0.16</v>
      </c>
      <c r="L256" s="3">
        <f t="shared" si="1"/>
        <v>47235.455999999998</v>
      </c>
      <c r="M256" s="3">
        <f t="shared" si="2"/>
        <v>26200</v>
      </c>
    </row>
    <row r="257" spans="1:13" ht="14.25" customHeight="1" x14ac:dyDescent="0.25">
      <c r="A257" s="3">
        <v>178</v>
      </c>
      <c r="B257" s="6">
        <v>45117</v>
      </c>
      <c r="C257" s="3" t="s">
        <v>29</v>
      </c>
      <c r="D257" s="3" t="s">
        <v>17</v>
      </c>
      <c r="E257" s="3" t="s">
        <v>15</v>
      </c>
      <c r="F257" s="3" t="s">
        <v>21</v>
      </c>
      <c r="G257" s="3">
        <v>3627</v>
      </c>
      <c r="H257" s="3">
        <v>5</v>
      </c>
      <c r="I257" s="3">
        <v>13</v>
      </c>
      <c r="J257" s="3">
        <f t="shared" ref="J257:J511" si="3">G257*I257</f>
        <v>47151</v>
      </c>
      <c r="K257" s="4">
        <v>0.18</v>
      </c>
      <c r="L257" s="3">
        <f t="shared" ref="L257:L511" si="4">J257+(J257*K257)/100</f>
        <v>47235.871800000001</v>
      </c>
      <c r="M257" s="3">
        <f t="shared" ref="M257:M511" si="5">G257*H257</f>
        <v>18135</v>
      </c>
    </row>
    <row r="258" spans="1:13" ht="14.25" customHeight="1" x14ac:dyDescent="0.25">
      <c r="A258" s="3">
        <v>407</v>
      </c>
      <c r="B258" s="6">
        <v>45111</v>
      </c>
      <c r="C258" s="3" t="s">
        <v>29</v>
      </c>
      <c r="D258" s="3" t="s">
        <v>20</v>
      </c>
      <c r="E258" s="3" t="s">
        <v>27</v>
      </c>
      <c r="F258" s="3" t="s">
        <v>16</v>
      </c>
      <c r="G258" s="3">
        <v>2156</v>
      </c>
      <c r="H258" s="3">
        <v>10</v>
      </c>
      <c r="I258" s="3">
        <v>22</v>
      </c>
      <c r="J258" s="3">
        <f t="shared" si="3"/>
        <v>47432</v>
      </c>
      <c r="K258" s="4">
        <v>0.21</v>
      </c>
      <c r="L258" s="3">
        <f t="shared" si="4"/>
        <v>47531.607199999999</v>
      </c>
      <c r="M258" s="3">
        <f t="shared" si="5"/>
        <v>21560</v>
      </c>
    </row>
    <row r="259" spans="1:13" ht="14.25" customHeight="1" x14ac:dyDescent="0.25">
      <c r="A259" s="3">
        <v>94</v>
      </c>
      <c r="B259" s="6">
        <v>45301</v>
      </c>
      <c r="C259" s="3" t="s">
        <v>29</v>
      </c>
      <c r="D259" s="3" t="s">
        <v>14</v>
      </c>
      <c r="E259" s="3" t="s">
        <v>27</v>
      </c>
      <c r="F259" s="3" t="s">
        <v>19</v>
      </c>
      <c r="G259" s="3">
        <v>2729</v>
      </c>
      <c r="H259" s="3">
        <v>10</v>
      </c>
      <c r="I259" s="3">
        <v>18</v>
      </c>
      <c r="J259" s="3">
        <f t="shared" si="3"/>
        <v>49122</v>
      </c>
      <c r="K259" s="4">
        <v>0.02</v>
      </c>
      <c r="L259" s="3">
        <f t="shared" si="4"/>
        <v>49131.824399999998</v>
      </c>
      <c r="M259" s="3">
        <f t="shared" si="5"/>
        <v>27290</v>
      </c>
    </row>
    <row r="260" spans="1:13" ht="14.25" customHeight="1" x14ac:dyDescent="0.25">
      <c r="A260" s="3">
        <v>69</v>
      </c>
      <c r="B260" s="6">
        <v>45084</v>
      </c>
      <c r="C260" s="3" t="s">
        <v>13</v>
      </c>
      <c r="D260" s="3" t="s">
        <v>25</v>
      </c>
      <c r="E260" s="3" t="s">
        <v>27</v>
      </c>
      <c r="F260" s="3" t="s">
        <v>19</v>
      </c>
      <c r="G260" s="3">
        <v>2155</v>
      </c>
      <c r="H260" s="3">
        <v>10</v>
      </c>
      <c r="I260" s="3">
        <v>23</v>
      </c>
      <c r="J260" s="3">
        <f t="shared" si="3"/>
        <v>49565</v>
      </c>
      <c r="K260" s="4">
        <v>0.02</v>
      </c>
      <c r="L260" s="3">
        <f t="shared" si="4"/>
        <v>49574.913</v>
      </c>
      <c r="M260" s="3">
        <f t="shared" si="5"/>
        <v>21550</v>
      </c>
    </row>
    <row r="261" spans="1:13" ht="14.25" customHeight="1" x14ac:dyDescent="0.25">
      <c r="A261" s="3">
        <v>125</v>
      </c>
      <c r="B261" s="6">
        <v>44479</v>
      </c>
      <c r="C261" s="3" t="s">
        <v>29</v>
      </c>
      <c r="D261" s="3" t="s">
        <v>14</v>
      </c>
      <c r="E261" s="3" t="s">
        <v>27</v>
      </c>
      <c r="F261" s="3" t="s">
        <v>19</v>
      </c>
      <c r="G261" s="3">
        <v>2009</v>
      </c>
      <c r="H261" s="3">
        <v>10</v>
      </c>
      <c r="I261" s="3">
        <v>25</v>
      </c>
      <c r="J261" s="3">
        <f t="shared" si="3"/>
        <v>50225</v>
      </c>
      <c r="K261" s="4">
        <v>0.03</v>
      </c>
      <c r="L261" s="3">
        <f t="shared" si="4"/>
        <v>50240.067499999997</v>
      </c>
      <c r="M261" s="3">
        <f t="shared" si="5"/>
        <v>20090</v>
      </c>
    </row>
    <row r="262" spans="1:13" ht="14.25" customHeight="1" x14ac:dyDescent="0.25">
      <c r="A262" s="3">
        <v>370</v>
      </c>
      <c r="B262" s="6">
        <v>44409</v>
      </c>
      <c r="C262" s="3" t="s">
        <v>13</v>
      </c>
      <c r="D262" s="3" t="s">
        <v>25</v>
      </c>
      <c r="E262" s="3" t="s">
        <v>27</v>
      </c>
      <c r="F262" s="3" t="s">
        <v>16</v>
      </c>
      <c r="G262" s="3">
        <v>2532</v>
      </c>
      <c r="H262" s="3">
        <v>10</v>
      </c>
      <c r="I262" s="3">
        <v>20</v>
      </c>
      <c r="J262" s="3">
        <f t="shared" si="3"/>
        <v>50640</v>
      </c>
      <c r="K262" s="4">
        <v>0.22</v>
      </c>
      <c r="L262" s="3">
        <f t="shared" si="4"/>
        <v>50751.408000000003</v>
      </c>
      <c r="M262" s="3">
        <f t="shared" si="5"/>
        <v>25320</v>
      </c>
    </row>
    <row r="263" spans="1:13" ht="14.25" customHeight="1" x14ac:dyDescent="0.25">
      <c r="A263" s="3">
        <v>150</v>
      </c>
      <c r="B263" s="6">
        <v>44291</v>
      </c>
      <c r="C263" s="3" t="s">
        <v>29</v>
      </c>
      <c r="D263" s="3" t="s">
        <v>25</v>
      </c>
      <c r="E263" s="3" t="s">
        <v>27</v>
      </c>
      <c r="F263" s="3" t="s">
        <v>19</v>
      </c>
      <c r="G263" s="3">
        <v>2988</v>
      </c>
      <c r="H263" s="3">
        <v>10</v>
      </c>
      <c r="I263" s="3">
        <v>17</v>
      </c>
      <c r="J263" s="3">
        <f t="shared" si="3"/>
        <v>50796</v>
      </c>
      <c r="K263" s="4">
        <v>7.0000000000000007E-2</v>
      </c>
      <c r="L263" s="3">
        <f t="shared" si="4"/>
        <v>50831.557200000003</v>
      </c>
      <c r="M263" s="3">
        <f t="shared" si="5"/>
        <v>29880</v>
      </c>
    </row>
    <row r="264" spans="1:13" ht="14.25" customHeight="1" x14ac:dyDescent="0.25">
      <c r="A264" s="3">
        <v>386</v>
      </c>
      <c r="B264" s="6">
        <v>44854</v>
      </c>
      <c r="C264" s="3" t="s">
        <v>23</v>
      </c>
      <c r="D264" s="3" t="s">
        <v>25</v>
      </c>
      <c r="E264" s="3" t="s">
        <v>27</v>
      </c>
      <c r="F264" s="3" t="s">
        <v>16</v>
      </c>
      <c r="G264" s="3">
        <v>2425.5</v>
      </c>
      <c r="H264" s="3">
        <v>10</v>
      </c>
      <c r="I264" s="3">
        <v>21</v>
      </c>
      <c r="J264" s="3">
        <f t="shared" si="3"/>
        <v>50935.5</v>
      </c>
      <c r="K264" s="4">
        <v>0.2</v>
      </c>
      <c r="L264" s="3">
        <f t="shared" si="4"/>
        <v>51037.370999999999</v>
      </c>
      <c r="M264" s="3">
        <f t="shared" si="5"/>
        <v>24255</v>
      </c>
    </row>
    <row r="265" spans="1:13" ht="14.25" customHeight="1" x14ac:dyDescent="0.25">
      <c r="A265" s="3">
        <v>119</v>
      </c>
      <c r="B265" s="6">
        <v>45170</v>
      </c>
      <c r="C265" s="3" t="s">
        <v>26</v>
      </c>
      <c r="D265" s="3" t="s">
        <v>25</v>
      </c>
      <c r="E265" s="3" t="s">
        <v>27</v>
      </c>
      <c r="F265" s="3" t="s">
        <v>19</v>
      </c>
      <c r="G265" s="3">
        <v>2434.5</v>
      </c>
      <c r="H265" s="3">
        <v>10</v>
      </c>
      <c r="I265" s="3">
        <v>21</v>
      </c>
      <c r="J265" s="3">
        <f t="shared" si="3"/>
        <v>51124.5</v>
      </c>
      <c r="K265" s="4">
        <v>0.08</v>
      </c>
      <c r="L265" s="3">
        <f t="shared" si="4"/>
        <v>51165.399599999997</v>
      </c>
      <c r="M265" s="3">
        <f t="shared" si="5"/>
        <v>24345</v>
      </c>
    </row>
    <row r="266" spans="1:13" ht="14.25" customHeight="1" x14ac:dyDescent="0.25">
      <c r="A266" s="3">
        <v>442</v>
      </c>
      <c r="B266" s="6">
        <v>44657</v>
      </c>
      <c r="C266" s="3" t="s">
        <v>13</v>
      </c>
      <c r="D266" s="3" t="s">
        <v>22</v>
      </c>
      <c r="E266" s="3" t="s">
        <v>27</v>
      </c>
      <c r="F266" s="3" t="s">
        <v>16</v>
      </c>
      <c r="G266" s="3">
        <v>2708</v>
      </c>
      <c r="H266" s="3">
        <v>10</v>
      </c>
      <c r="I266" s="3">
        <v>19</v>
      </c>
      <c r="J266" s="3">
        <f t="shared" si="3"/>
        <v>51452</v>
      </c>
      <c r="K266" s="4">
        <v>0.22</v>
      </c>
      <c r="L266" s="3">
        <f t="shared" si="4"/>
        <v>51565.1944</v>
      </c>
      <c r="M266" s="3">
        <f t="shared" si="5"/>
        <v>27080</v>
      </c>
    </row>
    <row r="267" spans="1:13" ht="14.25" customHeight="1" x14ac:dyDescent="0.25">
      <c r="A267" s="3">
        <v>405</v>
      </c>
      <c r="B267" s="6">
        <v>45091</v>
      </c>
      <c r="C267" s="3" t="s">
        <v>26</v>
      </c>
      <c r="D267" s="3" t="s">
        <v>17</v>
      </c>
      <c r="E267" s="3" t="s">
        <v>27</v>
      </c>
      <c r="F267" s="3" t="s">
        <v>16</v>
      </c>
      <c r="G267" s="3">
        <v>3495</v>
      </c>
      <c r="H267" s="3">
        <v>10</v>
      </c>
      <c r="I267" s="3">
        <v>15</v>
      </c>
      <c r="J267" s="3">
        <f t="shared" si="3"/>
        <v>52425</v>
      </c>
      <c r="K267" s="4">
        <v>0.22</v>
      </c>
      <c r="L267" s="3">
        <f t="shared" si="4"/>
        <v>52540.334999999999</v>
      </c>
      <c r="M267" s="3">
        <f t="shared" si="5"/>
        <v>34950</v>
      </c>
    </row>
    <row r="268" spans="1:13" ht="14.25" customHeight="1" x14ac:dyDescent="0.25">
      <c r="A268" s="3">
        <v>505</v>
      </c>
      <c r="B268" s="6">
        <v>44534</v>
      </c>
      <c r="C268" s="3" t="s">
        <v>13</v>
      </c>
      <c r="D268" s="3" t="s">
        <v>20</v>
      </c>
      <c r="E268" s="3" t="s">
        <v>27</v>
      </c>
      <c r="F268" s="3" t="s">
        <v>16</v>
      </c>
      <c r="G268" s="3">
        <v>2535</v>
      </c>
      <c r="H268" s="3">
        <v>10</v>
      </c>
      <c r="I268" s="3">
        <v>21</v>
      </c>
      <c r="J268" s="3">
        <f t="shared" si="3"/>
        <v>53235</v>
      </c>
      <c r="K268" s="4">
        <v>0.21</v>
      </c>
      <c r="L268" s="3">
        <f t="shared" si="4"/>
        <v>53346.7935</v>
      </c>
      <c r="M268" s="3">
        <f t="shared" si="5"/>
        <v>25350</v>
      </c>
    </row>
    <row r="269" spans="1:13" ht="14.25" customHeight="1" x14ac:dyDescent="0.25">
      <c r="A269" s="3">
        <v>507</v>
      </c>
      <c r="B269" s="6">
        <v>45660</v>
      </c>
      <c r="C269" s="3" t="s">
        <v>24</v>
      </c>
      <c r="D269" s="3" t="s">
        <v>14</v>
      </c>
      <c r="E269" s="3" t="s">
        <v>27</v>
      </c>
      <c r="F269" s="3" t="s">
        <v>16</v>
      </c>
      <c r="G269" s="3">
        <v>2559</v>
      </c>
      <c r="H269" s="3">
        <v>10</v>
      </c>
      <c r="I269" s="3">
        <v>21</v>
      </c>
      <c r="J269" s="3">
        <f t="shared" si="3"/>
        <v>53739</v>
      </c>
      <c r="K269" s="4">
        <v>0.24</v>
      </c>
      <c r="L269" s="3">
        <f t="shared" si="4"/>
        <v>53867.973599999998</v>
      </c>
      <c r="M269" s="3">
        <f t="shared" si="5"/>
        <v>25590</v>
      </c>
    </row>
    <row r="270" spans="1:13" ht="14.25" customHeight="1" x14ac:dyDescent="0.25">
      <c r="A270" s="3">
        <v>222</v>
      </c>
      <c r="B270" s="6">
        <v>44235</v>
      </c>
      <c r="C270" s="3" t="s">
        <v>24</v>
      </c>
      <c r="D270" s="3" t="s">
        <v>17</v>
      </c>
      <c r="E270" s="3" t="s">
        <v>27</v>
      </c>
      <c r="F270" s="3" t="s">
        <v>21</v>
      </c>
      <c r="G270" s="3">
        <v>2198</v>
      </c>
      <c r="H270" s="3">
        <v>10</v>
      </c>
      <c r="I270" s="3">
        <v>25</v>
      </c>
      <c r="J270" s="3">
        <f t="shared" si="3"/>
        <v>54950</v>
      </c>
      <c r="K270" s="4">
        <v>0.16</v>
      </c>
      <c r="L270" s="3">
        <f t="shared" si="4"/>
        <v>55037.919999999998</v>
      </c>
      <c r="M270" s="3">
        <f t="shared" si="5"/>
        <v>21980</v>
      </c>
    </row>
    <row r="271" spans="1:13" ht="14.25" customHeight="1" x14ac:dyDescent="0.25">
      <c r="A271" s="3">
        <v>184</v>
      </c>
      <c r="B271" s="6">
        <v>44464</v>
      </c>
      <c r="C271" s="3" t="s">
        <v>13</v>
      </c>
      <c r="D271" s="3" t="s">
        <v>17</v>
      </c>
      <c r="E271" s="3" t="s">
        <v>27</v>
      </c>
      <c r="F271" s="3" t="s">
        <v>21</v>
      </c>
      <c r="G271" s="3">
        <v>2327</v>
      </c>
      <c r="H271" s="3">
        <v>10</v>
      </c>
      <c r="I271" s="3">
        <v>24</v>
      </c>
      <c r="J271" s="3">
        <f t="shared" si="3"/>
        <v>55848</v>
      </c>
      <c r="K271" s="4">
        <v>0.15</v>
      </c>
      <c r="L271" s="3">
        <f t="shared" si="4"/>
        <v>55931.771999999997</v>
      </c>
      <c r="M271" s="3">
        <f t="shared" si="5"/>
        <v>23270</v>
      </c>
    </row>
    <row r="272" spans="1:13" ht="14.25" customHeight="1" x14ac:dyDescent="0.25">
      <c r="A272" s="3">
        <v>387</v>
      </c>
      <c r="B272" s="6">
        <v>45922</v>
      </c>
      <c r="C272" s="3" t="s">
        <v>13</v>
      </c>
      <c r="D272" s="3" t="s">
        <v>14</v>
      </c>
      <c r="E272" s="3" t="s">
        <v>27</v>
      </c>
      <c r="F272" s="3" t="s">
        <v>16</v>
      </c>
      <c r="G272" s="3">
        <v>2394</v>
      </c>
      <c r="H272" s="3">
        <v>10</v>
      </c>
      <c r="I272" s="3">
        <v>24</v>
      </c>
      <c r="J272" s="3">
        <f t="shared" si="3"/>
        <v>57456</v>
      </c>
      <c r="K272" s="4">
        <v>0.22</v>
      </c>
      <c r="L272" s="3">
        <f t="shared" si="4"/>
        <v>57582.403200000001</v>
      </c>
      <c r="M272" s="3">
        <f t="shared" si="5"/>
        <v>23940</v>
      </c>
    </row>
    <row r="273" spans="1:13" ht="14.25" customHeight="1" x14ac:dyDescent="0.25">
      <c r="A273" s="3">
        <v>18</v>
      </c>
      <c r="B273" s="6">
        <v>45942</v>
      </c>
      <c r="C273" s="3" t="s">
        <v>23</v>
      </c>
      <c r="D273" s="3" t="s">
        <v>14</v>
      </c>
      <c r="E273" s="3" t="s">
        <v>27</v>
      </c>
      <c r="F273" s="3" t="s">
        <v>28</v>
      </c>
      <c r="G273" s="3">
        <v>2518</v>
      </c>
      <c r="H273" s="3">
        <v>10</v>
      </c>
      <c r="I273" s="3">
        <v>23</v>
      </c>
      <c r="J273" s="3">
        <f t="shared" si="3"/>
        <v>57914</v>
      </c>
      <c r="K273" s="4">
        <v>0</v>
      </c>
      <c r="L273" s="3">
        <f t="shared" si="4"/>
        <v>57914</v>
      </c>
      <c r="M273" s="3">
        <f t="shared" si="5"/>
        <v>25180</v>
      </c>
    </row>
    <row r="274" spans="1:13" ht="14.25" customHeight="1" x14ac:dyDescent="0.25">
      <c r="A274" s="3">
        <v>68</v>
      </c>
      <c r="B274" s="6">
        <v>44985</v>
      </c>
      <c r="C274" s="3" t="s">
        <v>26</v>
      </c>
      <c r="D274" s="3" t="s">
        <v>17</v>
      </c>
      <c r="E274" s="3" t="s">
        <v>27</v>
      </c>
      <c r="F274" s="3" t="s">
        <v>19</v>
      </c>
      <c r="G274" s="3">
        <v>2905</v>
      </c>
      <c r="H274" s="3">
        <v>10</v>
      </c>
      <c r="I274" s="3">
        <v>20</v>
      </c>
      <c r="J274" s="3">
        <f t="shared" si="3"/>
        <v>58100</v>
      </c>
      <c r="K274" s="4">
        <v>0.01</v>
      </c>
      <c r="L274" s="3">
        <f t="shared" si="4"/>
        <v>58105.81</v>
      </c>
      <c r="M274" s="3">
        <f t="shared" si="5"/>
        <v>29050</v>
      </c>
    </row>
    <row r="275" spans="1:13" ht="14.25" customHeight="1" x14ac:dyDescent="0.25">
      <c r="A275" s="3">
        <v>71</v>
      </c>
      <c r="B275" s="6">
        <v>44270</v>
      </c>
      <c r="C275" s="3" t="s">
        <v>13</v>
      </c>
      <c r="D275" s="3" t="s">
        <v>20</v>
      </c>
      <c r="E275" s="3" t="s">
        <v>30</v>
      </c>
      <c r="F275" s="3" t="s">
        <v>19</v>
      </c>
      <c r="G275" s="3">
        <v>362</v>
      </c>
      <c r="H275" s="3">
        <v>120</v>
      </c>
      <c r="I275" s="3">
        <v>161</v>
      </c>
      <c r="J275" s="3">
        <f t="shared" si="3"/>
        <v>58282</v>
      </c>
      <c r="K275" s="4">
        <v>7.0000000000000007E-2</v>
      </c>
      <c r="L275" s="3">
        <f t="shared" si="4"/>
        <v>58322.797400000003</v>
      </c>
      <c r="M275" s="3">
        <f t="shared" si="5"/>
        <v>43440</v>
      </c>
    </row>
    <row r="276" spans="1:13" ht="14.25" customHeight="1" x14ac:dyDescent="0.25">
      <c r="A276" s="3">
        <v>22</v>
      </c>
      <c r="B276" s="6">
        <v>44410</v>
      </c>
      <c r="C276" s="3" t="s">
        <v>24</v>
      </c>
      <c r="D276" s="3" t="s">
        <v>20</v>
      </c>
      <c r="E276" s="3" t="s">
        <v>27</v>
      </c>
      <c r="F276" s="3" t="s">
        <v>28</v>
      </c>
      <c r="G276" s="3">
        <v>2472</v>
      </c>
      <c r="H276" s="3">
        <v>10</v>
      </c>
      <c r="I276" s="3">
        <v>24</v>
      </c>
      <c r="J276" s="3">
        <f t="shared" si="3"/>
        <v>59328</v>
      </c>
      <c r="K276" s="4">
        <v>0</v>
      </c>
      <c r="L276" s="3">
        <f t="shared" si="4"/>
        <v>59328</v>
      </c>
      <c r="M276" s="3">
        <f t="shared" si="5"/>
        <v>24720</v>
      </c>
    </row>
    <row r="277" spans="1:13" ht="14.25" customHeight="1" x14ac:dyDescent="0.25">
      <c r="A277" s="3">
        <v>246</v>
      </c>
      <c r="B277" s="6">
        <v>45286</v>
      </c>
      <c r="C277" s="3" t="s">
        <v>29</v>
      </c>
      <c r="D277" s="3" t="s">
        <v>22</v>
      </c>
      <c r="E277" s="3" t="s">
        <v>27</v>
      </c>
      <c r="F277" s="3" t="s">
        <v>21</v>
      </c>
      <c r="G277" s="3">
        <v>3513</v>
      </c>
      <c r="H277" s="3">
        <v>10</v>
      </c>
      <c r="I277" s="3">
        <v>17</v>
      </c>
      <c r="J277" s="3">
        <f t="shared" si="3"/>
        <v>59721</v>
      </c>
      <c r="K277" s="4">
        <v>0.12</v>
      </c>
      <c r="L277" s="3">
        <f t="shared" si="4"/>
        <v>59792.665200000003</v>
      </c>
      <c r="M277" s="3">
        <f t="shared" si="5"/>
        <v>35130</v>
      </c>
    </row>
    <row r="278" spans="1:13" ht="14.25" customHeight="1" x14ac:dyDescent="0.25">
      <c r="A278" s="3">
        <v>441</v>
      </c>
      <c r="B278" s="6">
        <v>44915</v>
      </c>
      <c r="C278" s="3" t="s">
        <v>13</v>
      </c>
      <c r="D278" s="3" t="s">
        <v>17</v>
      </c>
      <c r="E278" s="3" t="s">
        <v>27</v>
      </c>
      <c r="F278" s="3" t="s">
        <v>16</v>
      </c>
      <c r="G278" s="3">
        <v>2641</v>
      </c>
      <c r="H278" s="3">
        <v>10</v>
      </c>
      <c r="I278" s="3">
        <v>23</v>
      </c>
      <c r="J278" s="3">
        <f t="shared" si="3"/>
        <v>60743</v>
      </c>
      <c r="K278" s="4">
        <v>0.25</v>
      </c>
      <c r="L278" s="3">
        <f t="shared" si="4"/>
        <v>60894.857499999998</v>
      </c>
      <c r="M278" s="3">
        <f t="shared" si="5"/>
        <v>26410</v>
      </c>
    </row>
    <row r="279" spans="1:13" ht="14.25" customHeight="1" x14ac:dyDescent="0.25">
      <c r="A279" s="3">
        <v>389</v>
      </c>
      <c r="B279" s="6">
        <v>45459</v>
      </c>
      <c r="C279" s="3" t="s">
        <v>29</v>
      </c>
      <c r="D279" s="3" t="s">
        <v>25</v>
      </c>
      <c r="E279" s="3" t="s">
        <v>27</v>
      </c>
      <c r="F279" s="3" t="s">
        <v>16</v>
      </c>
      <c r="G279" s="3">
        <v>2441</v>
      </c>
      <c r="H279" s="3">
        <v>10</v>
      </c>
      <c r="I279" s="3">
        <v>25</v>
      </c>
      <c r="J279" s="3">
        <f t="shared" si="3"/>
        <v>61025</v>
      </c>
      <c r="K279" s="4">
        <v>0.21</v>
      </c>
      <c r="L279" s="3">
        <f t="shared" si="4"/>
        <v>61153.152499999997</v>
      </c>
      <c r="M279" s="3">
        <f t="shared" si="5"/>
        <v>24410</v>
      </c>
    </row>
    <row r="280" spans="1:13" ht="14.25" customHeight="1" x14ac:dyDescent="0.25">
      <c r="A280" s="3">
        <v>189</v>
      </c>
      <c r="B280" s="6">
        <v>45239</v>
      </c>
      <c r="C280" s="3" t="s">
        <v>13</v>
      </c>
      <c r="D280" s="3" t="s">
        <v>17</v>
      </c>
      <c r="E280" s="3" t="s">
        <v>27</v>
      </c>
      <c r="F280" s="3" t="s">
        <v>21</v>
      </c>
      <c r="G280" s="3">
        <v>2663</v>
      </c>
      <c r="H280" s="3">
        <v>10</v>
      </c>
      <c r="I280" s="3">
        <v>23</v>
      </c>
      <c r="J280" s="3">
        <f t="shared" si="3"/>
        <v>61249</v>
      </c>
      <c r="K280" s="4">
        <v>0.11</v>
      </c>
      <c r="L280" s="3">
        <f t="shared" si="4"/>
        <v>61316.373899999999</v>
      </c>
      <c r="M280" s="3">
        <f t="shared" si="5"/>
        <v>26630</v>
      </c>
    </row>
    <row r="281" spans="1:13" ht="14.25" customHeight="1" x14ac:dyDescent="0.25">
      <c r="A281" s="3">
        <v>305</v>
      </c>
      <c r="B281" s="6">
        <v>45689</v>
      </c>
      <c r="C281" s="3" t="s">
        <v>26</v>
      </c>
      <c r="D281" s="3" t="s">
        <v>20</v>
      </c>
      <c r="E281" s="3" t="s">
        <v>27</v>
      </c>
      <c r="F281" s="3" t="s">
        <v>21</v>
      </c>
      <c r="G281" s="3">
        <v>2565</v>
      </c>
      <c r="H281" s="3">
        <v>10</v>
      </c>
      <c r="I281" s="3">
        <v>24</v>
      </c>
      <c r="J281" s="3">
        <f t="shared" si="3"/>
        <v>61560</v>
      </c>
      <c r="K281" s="4">
        <v>0.19</v>
      </c>
      <c r="L281" s="3">
        <f t="shared" si="4"/>
        <v>61676.964</v>
      </c>
      <c r="M281" s="3">
        <f t="shared" si="5"/>
        <v>25650</v>
      </c>
    </row>
    <row r="282" spans="1:13" ht="14.25" customHeight="1" x14ac:dyDescent="0.25">
      <c r="A282" s="3">
        <v>371</v>
      </c>
      <c r="B282" s="6">
        <v>45324</v>
      </c>
      <c r="C282" s="3" t="s">
        <v>24</v>
      </c>
      <c r="D282" s="3" t="s">
        <v>14</v>
      </c>
      <c r="E282" s="3" t="s">
        <v>30</v>
      </c>
      <c r="F282" s="3" t="s">
        <v>16</v>
      </c>
      <c r="G282" s="3">
        <v>384</v>
      </c>
      <c r="H282" s="3">
        <v>120</v>
      </c>
      <c r="I282" s="3">
        <v>166</v>
      </c>
      <c r="J282" s="3">
        <f t="shared" si="3"/>
        <v>63744</v>
      </c>
      <c r="K282" s="4">
        <v>0.25</v>
      </c>
      <c r="L282" s="3">
        <f t="shared" si="4"/>
        <v>63903.360000000001</v>
      </c>
      <c r="M282" s="3">
        <f t="shared" si="5"/>
        <v>46080</v>
      </c>
    </row>
    <row r="283" spans="1:13" ht="14.25" customHeight="1" x14ac:dyDescent="0.25">
      <c r="A283" s="3">
        <v>483</v>
      </c>
      <c r="B283" s="6">
        <v>44559</v>
      </c>
      <c r="C283" s="3" t="s">
        <v>23</v>
      </c>
      <c r="D283" s="3" t="s">
        <v>17</v>
      </c>
      <c r="E283" s="3" t="s">
        <v>27</v>
      </c>
      <c r="F283" s="3" t="s">
        <v>16</v>
      </c>
      <c r="G283" s="3">
        <v>2914</v>
      </c>
      <c r="H283" s="3">
        <v>10</v>
      </c>
      <c r="I283" s="3">
        <v>22</v>
      </c>
      <c r="J283" s="3">
        <f t="shared" si="3"/>
        <v>64108</v>
      </c>
      <c r="K283" s="4">
        <v>0.21</v>
      </c>
      <c r="L283" s="3">
        <f t="shared" si="4"/>
        <v>64242.626799999998</v>
      </c>
      <c r="M283" s="3">
        <f t="shared" si="5"/>
        <v>29140</v>
      </c>
    </row>
    <row r="284" spans="1:13" ht="14.25" customHeight="1" x14ac:dyDescent="0.25">
      <c r="A284" s="3">
        <v>148</v>
      </c>
      <c r="B284" s="6">
        <v>44343</v>
      </c>
      <c r="C284" s="3" t="s">
        <v>26</v>
      </c>
      <c r="D284" s="3" t="s">
        <v>17</v>
      </c>
      <c r="E284" s="3" t="s">
        <v>27</v>
      </c>
      <c r="F284" s="3" t="s">
        <v>19</v>
      </c>
      <c r="G284" s="3">
        <v>2918</v>
      </c>
      <c r="H284" s="3">
        <v>10</v>
      </c>
      <c r="I284" s="3">
        <v>22</v>
      </c>
      <c r="J284" s="3">
        <f t="shared" si="3"/>
        <v>64196</v>
      </c>
      <c r="K284" s="4">
        <v>0.08</v>
      </c>
      <c r="L284" s="3">
        <f t="shared" si="4"/>
        <v>64247.356800000001</v>
      </c>
      <c r="M284" s="3">
        <f t="shared" si="5"/>
        <v>29180</v>
      </c>
    </row>
    <row r="285" spans="1:13" ht="14.25" customHeight="1" x14ac:dyDescent="0.25">
      <c r="A285" s="3">
        <v>311</v>
      </c>
      <c r="B285" s="6">
        <v>45281</v>
      </c>
      <c r="C285" s="3" t="s">
        <v>29</v>
      </c>
      <c r="D285" s="3" t="s">
        <v>17</v>
      </c>
      <c r="E285" s="3" t="s">
        <v>27</v>
      </c>
      <c r="F285" s="3" t="s">
        <v>21</v>
      </c>
      <c r="G285" s="3">
        <v>2797</v>
      </c>
      <c r="H285" s="3">
        <v>10</v>
      </c>
      <c r="I285" s="3">
        <v>23</v>
      </c>
      <c r="J285" s="3">
        <f t="shared" si="3"/>
        <v>64331</v>
      </c>
      <c r="K285" s="4">
        <v>0.1</v>
      </c>
      <c r="L285" s="3">
        <f t="shared" si="4"/>
        <v>64395.330999999998</v>
      </c>
      <c r="M285" s="3">
        <f t="shared" si="5"/>
        <v>27970</v>
      </c>
    </row>
    <row r="286" spans="1:13" ht="14.25" customHeight="1" x14ac:dyDescent="0.25">
      <c r="A286" s="3">
        <v>164</v>
      </c>
      <c r="B286" s="6">
        <v>44378</v>
      </c>
      <c r="C286" s="3" t="s">
        <v>13</v>
      </c>
      <c r="D286" s="3" t="s">
        <v>20</v>
      </c>
      <c r="E286" s="3" t="s">
        <v>27</v>
      </c>
      <c r="F286" s="3" t="s">
        <v>21</v>
      </c>
      <c r="G286" s="3">
        <v>2689</v>
      </c>
      <c r="H286" s="3">
        <v>10</v>
      </c>
      <c r="I286" s="3">
        <v>24</v>
      </c>
      <c r="J286" s="3">
        <f t="shared" si="3"/>
        <v>64536</v>
      </c>
      <c r="K286" s="4">
        <v>0.13</v>
      </c>
      <c r="L286" s="3">
        <f t="shared" si="4"/>
        <v>64619.896800000002</v>
      </c>
      <c r="M286" s="3">
        <f t="shared" si="5"/>
        <v>26890</v>
      </c>
    </row>
    <row r="287" spans="1:13" ht="14.25" customHeight="1" x14ac:dyDescent="0.25">
      <c r="A287" s="3">
        <v>446</v>
      </c>
      <c r="B287" s="6">
        <v>45156</v>
      </c>
      <c r="C287" s="3" t="s">
        <v>13</v>
      </c>
      <c r="D287" s="3" t="s">
        <v>25</v>
      </c>
      <c r="E287" s="3" t="s">
        <v>27</v>
      </c>
      <c r="F287" s="3" t="s">
        <v>16</v>
      </c>
      <c r="G287" s="3">
        <v>2696</v>
      </c>
      <c r="H287" s="3">
        <v>10</v>
      </c>
      <c r="I287" s="3">
        <v>24</v>
      </c>
      <c r="J287" s="3">
        <f t="shared" si="3"/>
        <v>64704</v>
      </c>
      <c r="K287" s="4">
        <v>0.24</v>
      </c>
      <c r="L287" s="3">
        <f t="shared" si="4"/>
        <v>64859.289599999996</v>
      </c>
      <c r="M287" s="3">
        <f t="shared" si="5"/>
        <v>26960</v>
      </c>
    </row>
    <row r="288" spans="1:13" ht="14.25" customHeight="1" x14ac:dyDescent="0.25">
      <c r="A288" s="3">
        <v>149</v>
      </c>
      <c r="B288" s="6">
        <v>45348</v>
      </c>
      <c r="C288" s="3" t="s">
        <v>13</v>
      </c>
      <c r="D288" s="3" t="s">
        <v>17</v>
      </c>
      <c r="E288" s="3" t="s">
        <v>27</v>
      </c>
      <c r="F288" s="3" t="s">
        <v>19</v>
      </c>
      <c r="G288" s="3">
        <v>3450</v>
      </c>
      <c r="H288" s="3">
        <v>10</v>
      </c>
      <c r="I288" s="3">
        <v>19</v>
      </c>
      <c r="J288" s="3">
        <f t="shared" si="3"/>
        <v>65550</v>
      </c>
      <c r="K288" s="4">
        <v>0.04</v>
      </c>
      <c r="L288" s="3">
        <f t="shared" si="4"/>
        <v>65576.22</v>
      </c>
      <c r="M288" s="3">
        <f t="shared" si="5"/>
        <v>34500</v>
      </c>
    </row>
    <row r="289" spans="1:13" ht="14.25" customHeight="1" x14ac:dyDescent="0.25">
      <c r="A289" s="3">
        <v>181</v>
      </c>
      <c r="B289" s="6">
        <v>44718</v>
      </c>
      <c r="C289" s="3" t="s">
        <v>29</v>
      </c>
      <c r="D289" s="3" t="s">
        <v>17</v>
      </c>
      <c r="E289" s="3" t="s">
        <v>27</v>
      </c>
      <c r="F289" s="3" t="s">
        <v>21</v>
      </c>
      <c r="G289" s="3">
        <v>2992</v>
      </c>
      <c r="H289" s="3">
        <v>10</v>
      </c>
      <c r="I289" s="3">
        <v>22</v>
      </c>
      <c r="J289" s="3">
        <f t="shared" si="3"/>
        <v>65824</v>
      </c>
      <c r="K289" s="4">
        <v>0.15</v>
      </c>
      <c r="L289" s="3">
        <f t="shared" si="4"/>
        <v>65922.736000000004</v>
      </c>
      <c r="M289" s="3">
        <f t="shared" si="5"/>
        <v>29920</v>
      </c>
    </row>
    <row r="290" spans="1:13" ht="14.25" customHeight="1" x14ac:dyDescent="0.25">
      <c r="A290" s="3">
        <v>281</v>
      </c>
      <c r="B290" s="6">
        <v>44199</v>
      </c>
      <c r="C290" s="3" t="s">
        <v>13</v>
      </c>
      <c r="D290" s="3" t="s">
        <v>20</v>
      </c>
      <c r="E290" s="3" t="s">
        <v>27</v>
      </c>
      <c r="F290" s="3" t="s">
        <v>21</v>
      </c>
      <c r="G290" s="3">
        <v>2993</v>
      </c>
      <c r="H290" s="3">
        <v>10</v>
      </c>
      <c r="I290" s="3">
        <v>23</v>
      </c>
      <c r="J290" s="3">
        <f t="shared" si="3"/>
        <v>68839</v>
      </c>
      <c r="K290" s="4">
        <v>0.13</v>
      </c>
      <c r="L290" s="3">
        <f t="shared" si="4"/>
        <v>68928.490699999995</v>
      </c>
      <c r="M290" s="3">
        <f t="shared" si="5"/>
        <v>29930</v>
      </c>
    </row>
    <row r="291" spans="1:13" ht="14.25" customHeight="1" x14ac:dyDescent="0.25">
      <c r="A291" s="3">
        <v>73</v>
      </c>
      <c r="B291" s="6">
        <v>45412</v>
      </c>
      <c r="C291" s="3" t="s">
        <v>13</v>
      </c>
      <c r="D291" s="3" t="s">
        <v>22</v>
      </c>
      <c r="E291" s="3" t="s">
        <v>31</v>
      </c>
      <c r="F291" s="3" t="s">
        <v>19</v>
      </c>
      <c r="G291" s="3">
        <v>263</v>
      </c>
      <c r="H291" s="3">
        <v>250</v>
      </c>
      <c r="I291" s="3">
        <v>265</v>
      </c>
      <c r="J291" s="3">
        <f t="shared" si="3"/>
        <v>69695</v>
      </c>
      <c r="K291" s="4">
        <v>0.03</v>
      </c>
      <c r="L291" s="3">
        <f t="shared" si="4"/>
        <v>69715.908500000005</v>
      </c>
      <c r="M291" s="3">
        <f t="shared" si="5"/>
        <v>65750</v>
      </c>
    </row>
    <row r="292" spans="1:13" ht="14.25" customHeight="1" x14ac:dyDescent="0.25">
      <c r="A292" s="3">
        <v>455</v>
      </c>
      <c r="B292" s="6">
        <v>44517</v>
      </c>
      <c r="C292" s="3" t="s">
        <v>23</v>
      </c>
      <c r="D292" s="3" t="s">
        <v>20</v>
      </c>
      <c r="E292" s="3" t="s">
        <v>30</v>
      </c>
      <c r="F292" s="3" t="s">
        <v>16</v>
      </c>
      <c r="G292" s="3">
        <v>410</v>
      </c>
      <c r="H292" s="3">
        <v>120</v>
      </c>
      <c r="I292" s="3">
        <v>179</v>
      </c>
      <c r="J292" s="3">
        <f t="shared" si="3"/>
        <v>73390</v>
      </c>
      <c r="K292" s="4">
        <v>0.25</v>
      </c>
      <c r="L292" s="3">
        <f t="shared" si="4"/>
        <v>73573.475000000006</v>
      </c>
      <c r="M292" s="3">
        <f t="shared" si="5"/>
        <v>49200</v>
      </c>
    </row>
    <row r="293" spans="1:13" ht="14.25" customHeight="1" x14ac:dyDescent="0.25">
      <c r="A293" s="3">
        <v>315</v>
      </c>
      <c r="B293" s="6">
        <v>44237</v>
      </c>
      <c r="C293" s="3" t="s">
        <v>29</v>
      </c>
      <c r="D293" s="3" t="s">
        <v>14</v>
      </c>
      <c r="E293" s="3" t="s">
        <v>30</v>
      </c>
      <c r="F293" s="3" t="s">
        <v>21</v>
      </c>
      <c r="G293" s="3">
        <v>567</v>
      </c>
      <c r="H293" s="3">
        <v>120</v>
      </c>
      <c r="I293" s="3">
        <v>130</v>
      </c>
      <c r="J293" s="3">
        <f t="shared" si="3"/>
        <v>73710</v>
      </c>
      <c r="K293" s="4">
        <v>0.11</v>
      </c>
      <c r="L293" s="3">
        <f t="shared" si="4"/>
        <v>73791.081000000006</v>
      </c>
      <c r="M293" s="3">
        <f t="shared" si="5"/>
        <v>68040</v>
      </c>
    </row>
    <row r="294" spans="1:13" ht="14.25" customHeight="1" x14ac:dyDescent="0.25">
      <c r="A294" s="3">
        <v>349</v>
      </c>
      <c r="B294" s="6">
        <v>45353</v>
      </c>
      <c r="C294" s="3" t="s">
        <v>24</v>
      </c>
      <c r="D294" s="3" t="s">
        <v>22</v>
      </c>
      <c r="E294" s="3" t="s">
        <v>30</v>
      </c>
      <c r="F294" s="3" t="s">
        <v>16</v>
      </c>
      <c r="G294" s="3">
        <v>510</v>
      </c>
      <c r="H294" s="3">
        <v>120</v>
      </c>
      <c r="I294" s="3">
        <v>145</v>
      </c>
      <c r="J294" s="3">
        <f t="shared" si="3"/>
        <v>73950</v>
      </c>
      <c r="K294" s="4">
        <v>0.21</v>
      </c>
      <c r="L294" s="3">
        <f t="shared" si="4"/>
        <v>74105.294999999998</v>
      </c>
      <c r="M294" s="3">
        <f t="shared" si="5"/>
        <v>61200</v>
      </c>
    </row>
    <row r="295" spans="1:13" ht="14.25" customHeight="1" x14ac:dyDescent="0.25">
      <c r="A295" s="3">
        <v>63</v>
      </c>
      <c r="B295" s="6">
        <v>44344</v>
      </c>
      <c r="C295" s="3" t="s">
        <v>13</v>
      </c>
      <c r="D295" s="3" t="s">
        <v>17</v>
      </c>
      <c r="E295" s="3" t="s">
        <v>27</v>
      </c>
      <c r="F295" s="3" t="s">
        <v>19</v>
      </c>
      <c r="G295" s="3">
        <v>4492.5</v>
      </c>
      <c r="H295" s="3">
        <v>10</v>
      </c>
      <c r="I295" s="3">
        <v>17</v>
      </c>
      <c r="J295" s="3">
        <f t="shared" si="3"/>
        <v>76372.5</v>
      </c>
      <c r="K295" s="4">
        <v>0.04</v>
      </c>
      <c r="L295" s="3">
        <f t="shared" si="4"/>
        <v>76403.048999999999</v>
      </c>
      <c r="M295" s="3">
        <f t="shared" si="5"/>
        <v>44925</v>
      </c>
    </row>
    <row r="296" spans="1:13" ht="14.25" customHeight="1" x14ac:dyDescent="0.25">
      <c r="A296" s="3">
        <v>104</v>
      </c>
      <c r="B296" s="6">
        <v>44395</v>
      </c>
      <c r="C296" s="3" t="s">
        <v>26</v>
      </c>
      <c r="D296" s="3" t="s">
        <v>22</v>
      </c>
      <c r="E296" s="3" t="s">
        <v>32</v>
      </c>
      <c r="F296" s="3" t="s">
        <v>19</v>
      </c>
      <c r="G296" s="3">
        <v>259</v>
      </c>
      <c r="H296" s="3">
        <v>260</v>
      </c>
      <c r="I296" s="3">
        <v>309</v>
      </c>
      <c r="J296" s="3">
        <f t="shared" si="3"/>
        <v>80031</v>
      </c>
      <c r="K296" s="4">
        <v>0.03</v>
      </c>
      <c r="L296" s="3">
        <f t="shared" si="4"/>
        <v>80055.009300000005</v>
      </c>
      <c r="M296" s="3">
        <f t="shared" si="5"/>
        <v>67340</v>
      </c>
    </row>
    <row r="297" spans="1:13" ht="14.25" customHeight="1" x14ac:dyDescent="0.25">
      <c r="A297" s="3">
        <v>372</v>
      </c>
      <c r="B297" s="6">
        <v>45904</v>
      </c>
      <c r="C297" s="3" t="s">
        <v>23</v>
      </c>
      <c r="D297" s="3" t="s">
        <v>22</v>
      </c>
      <c r="E297" s="3" t="s">
        <v>30</v>
      </c>
      <c r="F297" s="3" t="s">
        <v>16</v>
      </c>
      <c r="G297" s="3">
        <v>472</v>
      </c>
      <c r="H297" s="3">
        <v>120</v>
      </c>
      <c r="I297" s="3">
        <v>171</v>
      </c>
      <c r="J297" s="3">
        <f t="shared" si="3"/>
        <v>80712</v>
      </c>
      <c r="K297" s="4">
        <v>0.24</v>
      </c>
      <c r="L297" s="3">
        <f t="shared" si="4"/>
        <v>80905.708799999993</v>
      </c>
      <c r="M297" s="3">
        <f t="shared" si="5"/>
        <v>56640</v>
      </c>
    </row>
    <row r="298" spans="1:13" ht="14.25" customHeight="1" x14ac:dyDescent="0.25">
      <c r="A298" s="3">
        <v>512</v>
      </c>
      <c r="B298" s="6">
        <v>45776</v>
      </c>
      <c r="C298" s="3" t="s">
        <v>23</v>
      </c>
      <c r="D298" s="3" t="s">
        <v>20</v>
      </c>
      <c r="E298" s="3" t="s">
        <v>30</v>
      </c>
      <c r="F298" s="3" t="s">
        <v>16</v>
      </c>
      <c r="G298" s="3">
        <v>500</v>
      </c>
      <c r="H298" s="3">
        <v>120</v>
      </c>
      <c r="I298" s="3">
        <v>165</v>
      </c>
      <c r="J298" s="3">
        <f t="shared" si="3"/>
        <v>82500</v>
      </c>
      <c r="K298" s="4">
        <v>0.24</v>
      </c>
      <c r="L298" s="3">
        <f t="shared" si="4"/>
        <v>82698</v>
      </c>
      <c r="M298" s="3">
        <f t="shared" si="5"/>
        <v>60000</v>
      </c>
    </row>
    <row r="299" spans="1:13" ht="14.25" customHeight="1" x14ac:dyDescent="0.25">
      <c r="A299" s="3">
        <v>307</v>
      </c>
      <c r="B299" s="6">
        <v>44395</v>
      </c>
      <c r="C299" s="3" t="s">
        <v>24</v>
      </c>
      <c r="D299" s="3" t="s">
        <v>17</v>
      </c>
      <c r="E299" s="3" t="s">
        <v>27</v>
      </c>
      <c r="F299" s="3" t="s">
        <v>21</v>
      </c>
      <c r="G299" s="3">
        <v>3675</v>
      </c>
      <c r="H299" s="3">
        <v>10</v>
      </c>
      <c r="I299" s="3">
        <v>23</v>
      </c>
      <c r="J299" s="3">
        <f t="shared" si="3"/>
        <v>84525</v>
      </c>
      <c r="K299" s="4">
        <v>0.13</v>
      </c>
      <c r="L299" s="3">
        <f t="shared" si="4"/>
        <v>84634.882500000007</v>
      </c>
      <c r="M299" s="3">
        <f t="shared" si="5"/>
        <v>36750</v>
      </c>
    </row>
    <row r="300" spans="1:13" ht="14.25" customHeight="1" x14ac:dyDescent="0.25">
      <c r="A300" s="3">
        <v>470</v>
      </c>
      <c r="B300" s="6">
        <v>44526</v>
      </c>
      <c r="C300" s="3" t="s">
        <v>13</v>
      </c>
      <c r="D300" s="3" t="s">
        <v>22</v>
      </c>
      <c r="E300" s="3" t="s">
        <v>31</v>
      </c>
      <c r="F300" s="3" t="s">
        <v>16</v>
      </c>
      <c r="G300" s="3">
        <v>280</v>
      </c>
      <c r="H300" s="3">
        <v>250</v>
      </c>
      <c r="I300" s="3">
        <v>314</v>
      </c>
      <c r="J300" s="3">
        <f t="shared" si="3"/>
        <v>87920</v>
      </c>
      <c r="K300" s="4">
        <v>0.24</v>
      </c>
      <c r="L300" s="3">
        <f t="shared" si="4"/>
        <v>88131.008000000002</v>
      </c>
      <c r="M300" s="3">
        <f t="shared" si="5"/>
        <v>70000</v>
      </c>
    </row>
    <row r="301" spans="1:13" ht="14.25" customHeight="1" x14ac:dyDescent="0.25">
      <c r="A301" s="3">
        <v>283</v>
      </c>
      <c r="B301" s="6">
        <v>45214</v>
      </c>
      <c r="C301" s="3" t="s">
        <v>23</v>
      </c>
      <c r="D301" s="3" t="s">
        <v>14</v>
      </c>
      <c r="E301" s="3" t="s">
        <v>30</v>
      </c>
      <c r="F301" s="3" t="s">
        <v>21</v>
      </c>
      <c r="G301" s="3">
        <v>598</v>
      </c>
      <c r="H301" s="3">
        <v>120</v>
      </c>
      <c r="I301" s="3">
        <v>148</v>
      </c>
      <c r="J301" s="3">
        <f t="shared" si="3"/>
        <v>88504</v>
      </c>
      <c r="K301" s="4">
        <v>0.16</v>
      </c>
      <c r="L301" s="3">
        <f t="shared" si="4"/>
        <v>88645.606400000004</v>
      </c>
      <c r="M301" s="3">
        <f t="shared" si="5"/>
        <v>71760</v>
      </c>
    </row>
    <row r="302" spans="1:13" ht="14.25" customHeight="1" x14ac:dyDescent="0.25">
      <c r="A302" s="3">
        <v>348</v>
      </c>
      <c r="B302" s="6">
        <v>44465</v>
      </c>
      <c r="C302" s="3" t="s">
        <v>24</v>
      </c>
      <c r="D302" s="3" t="s">
        <v>22</v>
      </c>
      <c r="E302" s="3" t="s">
        <v>30</v>
      </c>
      <c r="F302" s="3" t="s">
        <v>16</v>
      </c>
      <c r="G302" s="3">
        <v>681</v>
      </c>
      <c r="H302" s="3">
        <v>120</v>
      </c>
      <c r="I302" s="3">
        <v>132</v>
      </c>
      <c r="J302" s="3">
        <f t="shared" si="3"/>
        <v>89892</v>
      </c>
      <c r="K302" s="4">
        <v>0.24</v>
      </c>
      <c r="L302" s="3">
        <f t="shared" si="4"/>
        <v>90107.7408</v>
      </c>
      <c r="M302" s="3">
        <f t="shared" si="5"/>
        <v>81720</v>
      </c>
    </row>
    <row r="303" spans="1:13" ht="14.25" customHeight="1" x14ac:dyDescent="0.25">
      <c r="A303" s="3">
        <v>190</v>
      </c>
      <c r="B303" s="6">
        <v>45285</v>
      </c>
      <c r="C303" s="3" t="s">
        <v>24</v>
      </c>
      <c r="D303" s="3" t="s">
        <v>17</v>
      </c>
      <c r="E303" s="3" t="s">
        <v>30</v>
      </c>
      <c r="F303" s="3" t="s">
        <v>21</v>
      </c>
      <c r="G303" s="3">
        <v>555</v>
      </c>
      <c r="H303" s="3">
        <v>120</v>
      </c>
      <c r="I303" s="3">
        <v>163</v>
      </c>
      <c r="J303" s="3">
        <f t="shared" si="3"/>
        <v>90465</v>
      </c>
      <c r="K303" s="4">
        <v>0.16</v>
      </c>
      <c r="L303" s="3">
        <f t="shared" si="4"/>
        <v>90609.744000000006</v>
      </c>
      <c r="M303" s="3">
        <f t="shared" si="5"/>
        <v>66600</v>
      </c>
    </row>
    <row r="304" spans="1:13" ht="14.25" customHeight="1" x14ac:dyDescent="0.25">
      <c r="A304" s="3">
        <v>46</v>
      </c>
      <c r="B304" s="6">
        <v>44999</v>
      </c>
      <c r="C304" s="3" t="s">
        <v>13</v>
      </c>
      <c r="D304" s="3" t="s">
        <v>25</v>
      </c>
      <c r="E304" s="3" t="s">
        <v>27</v>
      </c>
      <c r="F304" s="3" t="s">
        <v>19</v>
      </c>
      <c r="G304" s="3">
        <v>3945</v>
      </c>
      <c r="H304" s="3">
        <v>10</v>
      </c>
      <c r="I304" s="3">
        <v>23</v>
      </c>
      <c r="J304" s="3">
        <f t="shared" si="3"/>
        <v>90735</v>
      </c>
      <c r="K304" s="4">
        <v>0.04</v>
      </c>
      <c r="L304" s="3">
        <f t="shared" si="4"/>
        <v>90771.293999999994</v>
      </c>
      <c r="M304" s="3">
        <f t="shared" si="5"/>
        <v>39450</v>
      </c>
    </row>
    <row r="305" spans="1:13" ht="14.25" customHeight="1" x14ac:dyDescent="0.25">
      <c r="A305" s="3">
        <v>204</v>
      </c>
      <c r="B305" s="6">
        <v>44519</v>
      </c>
      <c r="C305" s="3" t="s">
        <v>24</v>
      </c>
      <c r="D305" s="3" t="s">
        <v>25</v>
      </c>
      <c r="E305" s="3" t="s">
        <v>27</v>
      </c>
      <c r="F305" s="3" t="s">
        <v>21</v>
      </c>
      <c r="G305" s="3">
        <v>3801</v>
      </c>
      <c r="H305" s="3">
        <v>10</v>
      </c>
      <c r="I305" s="3">
        <v>24</v>
      </c>
      <c r="J305" s="3">
        <f t="shared" si="3"/>
        <v>91224</v>
      </c>
      <c r="K305" s="4">
        <v>0.19</v>
      </c>
      <c r="L305" s="3">
        <f t="shared" si="4"/>
        <v>91397.325599999996</v>
      </c>
      <c r="M305" s="3">
        <f t="shared" si="5"/>
        <v>38010</v>
      </c>
    </row>
    <row r="306" spans="1:13" ht="14.25" customHeight="1" x14ac:dyDescent="0.25">
      <c r="A306" s="3">
        <v>422</v>
      </c>
      <c r="B306" s="6">
        <v>44993</v>
      </c>
      <c r="C306" s="3" t="s">
        <v>13</v>
      </c>
      <c r="D306" s="3" t="s">
        <v>17</v>
      </c>
      <c r="E306" s="3" t="s">
        <v>32</v>
      </c>
      <c r="F306" s="3" t="s">
        <v>16</v>
      </c>
      <c r="G306" s="3">
        <v>270</v>
      </c>
      <c r="H306" s="3">
        <v>260</v>
      </c>
      <c r="I306" s="3">
        <v>338</v>
      </c>
      <c r="J306" s="3">
        <f t="shared" si="3"/>
        <v>91260</v>
      </c>
      <c r="K306" s="4">
        <v>0.23</v>
      </c>
      <c r="L306" s="3">
        <f t="shared" si="4"/>
        <v>91469.898000000001</v>
      </c>
      <c r="M306" s="3">
        <f t="shared" si="5"/>
        <v>70200</v>
      </c>
    </row>
    <row r="307" spans="1:13" ht="14.25" customHeight="1" x14ac:dyDescent="0.25">
      <c r="A307" s="3">
        <v>385</v>
      </c>
      <c r="B307" s="6">
        <v>44902</v>
      </c>
      <c r="C307" s="3" t="s">
        <v>23</v>
      </c>
      <c r="D307" s="3" t="s">
        <v>14</v>
      </c>
      <c r="E307" s="3" t="s">
        <v>27</v>
      </c>
      <c r="F307" s="3" t="s">
        <v>16</v>
      </c>
      <c r="G307" s="3">
        <v>4026</v>
      </c>
      <c r="H307" s="3">
        <v>10</v>
      </c>
      <c r="I307" s="3">
        <v>23</v>
      </c>
      <c r="J307" s="3">
        <f t="shared" si="3"/>
        <v>92598</v>
      </c>
      <c r="K307" s="4">
        <v>0.23</v>
      </c>
      <c r="L307" s="3">
        <f t="shared" si="4"/>
        <v>92810.975399999996</v>
      </c>
      <c r="M307" s="3">
        <f t="shared" si="5"/>
        <v>40260</v>
      </c>
    </row>
    <row r="308" spans="1:13" ht="14.25" customHeight="1" x14ac:dyDescent="0.25">
      <c r="A308" s="3">
        <v>49</v>
      </c>
      <c r="B308" s="6">
        <v>45042</v>
      </c>
      <c r="C308" s="3" t="s">
        <v>13</v>
      </c>
      <c r="D308" s="3" t="s">
        <v>25</v>
      </c>
      <c r="E308" s="3" t="s">
        <v>30</v>
      </c>
      <c r="F308" s="3" t="s">
        <v>19</v>
      </c>
      <c r="G308" s="3">
        <v>639</v>
      </c>
      <c r="H308" s="3">
        <v>120</v>
      </c>
      <c r="I308" s="3">
        <v>149</v>
      </c>
      <c r="J308" s="3">
        <f t="shared" si="3"/>
        <v>95211</v>
      </c>
      <c r="K308" s="4">
        <v>7.0000000000000007E-2</v>
      </c>
      <c r="L308" s="3">
        <f t="shared" si="4"/>
        <v>95277.647700000001</v>
      </c>
      <c r="M308" s="3">
        <f t="shared" si="5"/>
        <v>76680</v>
      </c>
    </row>
    <row r="309" spans="1:13" ht="14.25" customHeight="1" x14ac:dyDescent="0.25">
      <c r="A309" s="3">
        <v>234</v>
      </c>
      <c r="B309" s="6">
        <v>45129</v>
      </c>
      <c r="C309" s="3" t="s">
        <v>13</v>
      </c>
      <c r="D309" s="3" t="s">
        <v>17</v>
      </c>
      <c r="E309" s="3" t="s">
        <v>30</v>
      </c>
      <c r="F309" s="3" t="s">
        <v>21</v>
      </c>
      <c r="G309" s="3">
        <v>547</v>
      </c>
      <c r="H309" s="3">
        <v>120</v>
      </c>
      <c r="I309" s="3">
        <v>174</v>
      </c>
      <c r="J309" s="3">
        <f t="shared" si="3"/>
        <v>95178</v>
      </c>
      <c r="K309" s="4">
        <v>0.16</v>
      </c>
      <c r="L309" s="3">
        <f t="shared" si="4"/>
        <v>95330.284799999994</v>
      </c>
      <c r="M309" s="3">
        <f t="shared" si="5"/>
        <v>65640</v>
      </c>
    </row>
    <row r="310" spans="1:13" ht="14.25" customHeight="1" x14ac:dyDescent="0.25">
      <c r="A310" s="3">
        <v>356</v>
      </c>
      <c r="B310" s="6">
        <v>44969</v>
      </c>
      <c r="C310" s="3" t="s">
        <v>29</v>
      </c>
      <c r="D310" s="3" t="s">
        <v>20</v>
      </c>
      <c r="E310" s="3" t="s">
        <v>31</v>
      </c>
      <c r="F310" s="3" t="s">
        <v>16</v>
      </c>
      <c r="G310" s="3">
        <v>341</v>
      </c>
      <c r="H310" s="3">
        <v>250</v>
      </c>
      <c r="I310" s="3">
        <v>280</v>
      </c>
      <c r="J310" s="3">
        <f t="shared" si="3"/>
        <v>95480</v>
      </c>
      <c r="K310" s="4">
        <v>0.25</v>
      </c>
      <c r="L310" s="3">
        <f t="shared" si="4"/>
        <v>95718.7</v>
      </c>
      <c r="M310" s="3">
        <f t="shared" si="5"/>
        <v>85250</v>
      </c>
    </row>
    <row r="311" spans="1:13" ht="14.25" customHeight="1" x14ac:dyDescent="0.25">
      <c r="A311" s="3">
        <v>520</v>
      </c>
      <c r="B311" s="6">
        <v>45140</v>
      </c>
      <c r="C311" s="3" t="s">
        <v>13</v>
      </c>
      <c r="D311" s="3" t="s">
        <v>25</v>
      </c>
      <c r="E311" s="3" t="s">
        <v>31</v>
      </c>
      <c r="F311" s="3" t="s">
        <v>16</v>
      </c>
      <c r="G311" s="3">
        <v>293</v>
      </c>
      <c r="H311" s="3">
        <v>250</v>
      </c>
      <c r="I311" s="3">
        <v>327</v>
      </c>
      <c r="J311" s="3">
        <f t="shared" si="3"/>
        <v>95811</v>
      </c>
      <c r="K311" s="4">
        <v>0.24</v>
      </c>
      <c r="L311" s="3">
        <f t="shared" si="4"/>
        <v>96040.946400000001</v>
      </c>
      <c r="M311" s="3">
        <f t="shared" si="5"/>
        <v>73250</v>
      </c>
    </row>
    <row r="312" spans="1:13" ht="14.25" customHeight="1" x14ac:dyDescent="0.25">
      <c r="A312" s="3">
        <v>145</v>
      </c>
      <c r="B312" s="6">
        <v>45387</v>
      </c>
      <c r="C312" s="3" t="s">
        <v>13</v>
      </c>
      <c r="D312" s="3" t="s">
        <v>14</v>
      </c>
      <c r="E312" s="3" t="s">
        <v>27</v>
      </c>
      <c r="F312" s="3" t="s">
        <v>19</v>
      </c>
      <c r="G312" s="3">
        <v>4251</v>
      </c>
      <c r="H312" s="3">
        <v>10</v>
      </c>
      <c r="I312" s="3">
        <v>24</v>
      </c>
      <c r="J312" s="3">
        <f t="shared" si="3"/>
        <v>102024</v>
      </c>
      <c r="K312" s="4">
        <v>0.04</v>
      </c>
      <c r="L312" s="3">
        <f t="shared" si="4"/>
        <v>102064.80959999999</v>
      </c>
      <c r="M312" s="3">
        <f t="shared" si="5"/>
        <v>42510</v>
      </c>
    </row>
    <row r="313" spans="1:13" ht="14.25" customHeight="1" x14ac:dyDescent="0.25">
      <c r="A313" s="3">
        <v>250</v>
      </c>
      <c r="B313" s="6">
        <v>45928</v>
      </c>
      <c r="C313" s="3" t="s">
        <v>13</v>
      </c>
      <c r="D313" s="3" t="s">
        <v>20</v>
      </c>
      <c r="E313" s="3" t="s">
        <v>30</v>
      </c>
      <c r="F313" s="3" t="s">
        <v>21</v>
      </c>
      <c r="G313" s="3">
        <v>609</v>
      </c>
      <c r="H313" s="3">
        <v>120</v>
      </c>
      <c r="I313" s="3">
        <v>168</v>
      </c>
      <c r="J313" s="3">
        <f t="shared" si="3"/>
        <v>102312</v>
      </c>
      <c r="K313" s="4">
        <v>0.17</v>
      </c>
      <c r="L313" s="3">
        <f t="shared" si="4"/>
        <v>102485.9304</v>
      </c>
      <c r="M313" s="3">
        <f t="shared" si="5"/>
        <v>73080</v>
      </c>
    </row>
    <row r="314" spans="1:13" ht="14.25" customHeight="1" x14ac:dyDescent="0.25">
      <c r="A314" s="3">
        <v>337</v>
      </c>
      <c r="B314" s="6">
        <v>45804</v>
      </c>
      <c r="C314" s="3" t="s">
        <v>13</v>
      </c>
      <c r="D314" s="3" t="s">
        <v>22</v>
      </c>
      <c r="E314" s="3" t="s">
        <v>31</v>
      </c>
      <c r="F314" s="3" t="s">
        <v>21</v>
      </c>
      <c r="G314" s="3">
        <v>360</v>
      </c>
      <c r="H314" s="3">
        <v>250</v>
      </c>
      <c r="I314" s="3">
        <v>290</v>
      </c>
      <c r="J314" s="3">
        <f t="shared" si="3"/>
        <v>104400</v>
      </c>
      <c r="K314" s="4">
        <v>0.18</v>
      </c>
      <c r="L314" s="3">
        <f t="shared" si="4"/>
        <v>104587.92</v>
      </c>
      <c r="M314" s="3">
        <f t="shared" si="5"/>
        <v>90000</v>
      </c>
    </row>
    <row r="315" spans="1:13" ht="14.25" customHeight="1" x14ac:dyDescent="0.25">
      <c r="A315" s="3">
        <v>193</v>
      </c>
      <c r="B315" s="6">
        <v>45945</v>
      </c>
      <c r="C315" s="3" t="s">
        <v>13</v>
      </c>
      <c r="D315" s="3" t="s">
        <v>17</v>
      </c>
      <c r="E315" s="3" t="s">
        <v>30</v>
      </c>
      <c r="F315" s="3" t="s">
        <v>21</v>
      </c>
      <c r="G315" s="3">
        <v>602</v>
      </c>
      <c r="H315" s="3">
        <v>120</v>
      </c>
      <c r="I315" s="3">
        <v>177</v>
      </c>
      <c r="J315" s="3">
        <f t="shared" si="3"/>
        <v>106554</v>
      </c>
      <c r="K315" s="4">
        <v>0.1</v>
      </c>
      <c r="L315" s="3">
        <f t="shared" si="4"/>
        <v>106660.554</v>
      </c>
      <c r="M315" s="3">
        <f t="shared" si="5"/>
        <v>72240</v>
      </c>
    </row>
    <row r="316" spans="1:13" ht="14.25" customHeight="1" x14ac:dyDescent="0.25">
      <c r="A316" s="3">
        <v>488</v>
      </c>
      <c r="B316" s="6">
        <v>44895</v>
      </c>
      <c r="C316" s="3" t="s">
        <v>13</v>
      </c>
      <c r="D316" s="3" t="s">
        <v>17</v>
      </c>
      <c r="E316" s="3" t="s">
        <v>30</v>
      </c>
      <c r="F316" s="3" t="s">
        <v>16</v>
      </c>
      <c r="G316" s="3">
        <v>606</v>
      </c>
      <c r="H316" s="3">
        <v>120</v>
      </c>
      <c r="I316" s="3">
        <v>177</v>
      </c>
      <c r="J316" s="3">
        <f t="shared" si="3"/>
        <v>107262</v>
      </c>
      <c r="K316" s="4">
        <v>0.22</v>
      </c>
      <c r="L316" s="3">
        <f t="shared" si="4"/>
        <v>107497.9764</v>
      </c>
      <c r="M316" s="3">
        <f t="shared" si="5"/>
        <v>72720</v>
      </c>
    </row>
    <row r="317" spans="1:13" ht="14.25" customHeight="1" x14ac:dyDescent="0.25">
      <c r="A317" s="3">
        <v>454</v>
      </c>
      <c r="B317" s="6">
        <v>45741</v>
      </c>
      <c r="C317" s="3" t="s">
        <v>23</v>
      </c>
      <c r="D317" s="3" t="s">
        <v>20</v>
      </c>
      <c r="E317" s="3" t="s">
        <v>30</v>
      </c>
      <c r="F317" s="3" t="s">
        <v>16</v>
      </c>
      <c r="G317" s="3">
        <v>604</v>
      </c>
      <c r="H317" s="3">
        <v>120</v>
      </c>
      <c r="I317" s="3">
        <v>180</v>
      </c>
      <c r="J317" s="3">
        <f t="shared" si="3"/>
        <v>108720</v>
      </c>
      <c r="K317" s="4">
        <v>0.21</v>
      </c>
      <c r="L317" s="3">
        <f t="shared" si="4"/>
        <v>108948.31200000001</v>
      </c>
      <c r="M317" s="3">
        <f t="shared" si="5"/>
        <v>72480</v>
      </c>
    </row>
    <row r="318" spans="1:13" ht="14.25" customHeight="1" x14ac:dyDescent="0.25">
      <c r="A318" s="3">
        <v>286</v>
      </c>
      <c r="B318" s="6">
        <v>45528</v>
      </c>
      <c r="C318" s="3" t="s">
        <v>26</v>
      </c>
      <c r="D318" s="3" t="s">
        <v>20</v>
      </c>
      <c r="E318" s="3" t="s">
        <v>30</v>
      </c>
      <c r="F318" s="3" t="s">
        <v>21</v>
      </c>
      <c r="G318" s="3">
        <v>635</v>
      </c>
      <c r="H318" s="3">
        <v>120</v>
      </c>
      <c r="I318" s="3">
        <v>174</v>
      </c>
      <c r="J318" s="3">
        <f t="shared" si="3"/>
        <v>110490</v>
      </c>
      <c r="K318" s="4">
        <v>0.16</v>
      </c>
      <c r="L318" s="3">
        <f t="shared" si="4"/>
        <v>110666.784</v>
      </c>
      <c r="M318" s="3">
        <f t="shared" si="5"/>
        <v>76200</v>
      </c>
    </row>
    <row r="319" spans="1:13" ht="14.25" customHeight="1" x14ac:dyDescent="0.25">
      <c r="A319" s="3">
        <v>351</v>
      </c>
      <c r="B319" s="6">
        <v>44768</v>
      </c>
      <c r="C319" s="3" t="s">
        <v>13</v>
      </c>
      <c r="D319" s="3" t="s">
        <v>25</v>
      </c>
      <c r="E319" s="3" t="s">
        <v>30</v>
      </c>
      <c r="F319" s="3" t="s">
        <v>16</v>
      </c>
      <c r="G319" s="3">
        <v>639</v>
      </c>
      <c r="H319" s="3">
        <v>120</v>
      </c>
      <c r="I319" s="3">
        <v>176</v>
      </c>
      <c r="J319" s="3">
        <f t="shared" si="3"/>
        <v>112464</v>
      </c>
      <c r="K319" s="4">
        <v>0.22</v>
      </c>
      <c r="L319" s="3">
        <f t="shared" si="4"/>
        <v>112711.42080000001</v>
      </c>
      <c r="M319" s="3">
        <f t="shared" si="5"/>
        <v>76680</v>
      </c>
    </row>
    <row r="320" spans="1:13" ht="14.25" customHeight="1" x14ac:dyDescent="0.25">
      <c r="A320" s="3">
        <v>289</v>
      </c>
      <c r="B320" s="6">
        <v>44430</v>
      </c>
      <c r="C320" s="3" t="s">
        <v>13</v>
      </c>
      <c r="D320" s="3" t="s">
        <v>25</v>
      </c>
      <c r="E320" s="3" t="s">
        <v>31</v>
      </c>
      <c r="F320" s="3" t="s">
        <v>21</v>
      </c>
      <c r="G320" s="3">
        <v>381</v>
      </c>
      <c r="H320" s="3">
        <v>250</v>
      </c>
      <c r="I320" s="3">
        <v>299</v>
      </c>
      <c r="J320" s="3">
        <f t="shared" si="3"/>
        <v>113919</v>
      </c>
      <c r="K320" s="4">
        <v>0.16</v>
      </c>
      <c r="L320" s="3">
        <f t="shared" si="4"/>
        <v>114101.27039999999</v>
      </c>
      <c r="M320" s="3">
        <f t="shared" si="5"/>
        <v>95250</v>
      </c>
    </row>
    <row r="321" spans="1:13" ht="14.25" customHeight="1" x14ac:dyDescent="0.25">
      <c r="A321" s="3">
        <v>514</v>
      </c>
      <c r="B321" s="6">
        <v>44730</v>
      </c>
      <c r="C321" s="3" t="s">
        <v>29</v>
      </c>
      <c r="D321" s="3" t="s">
        <v>25</v>
      </c>
      <c r="E321" s="3" t="s">
        <v>30</v>
      </c>
      <c r="F321" s="3" t="s">
        <v>16</v>
      </c>
      <c r="G321" s="3">
        <v>663</v>
      </c>
      <c r="H321" s="3">
        <v>120</v>
      </c>
      <c r="I321" s="3">
        <v>173</v>
      </c>
      <c r="J321" s="3">
        <f t="shared" si="3"/>
        <v>114699</v>
      </c>
      <c r="K321" s="4">
        <v>0.23</v>
      </c>
      <c r="L321" s="3">
        <f t="shared" si="4"/>
        <v>114962.8077</v>
      </c>
      <c r="M321" s="3">
        <f t="shared" si="5"/>
        <v>79560</v>
      </c>
    </row>
    <row r="322" spans="1:13" ht="14.25" customHeight="1" x14ac:dyDescent="0.25">
      <c r="A322" s="3">
        <v>196</v>
      </c>
      <c r="B322" s="6">
        <v>45106</v>
      </c>
      <c r="C322" s="3" t="s">
        <v>29</v>
      </c>
      <c r="D322" s="3" t="s">
        <v>17</v>
      </c>
      <c r="E322" s="3" t="s">
        <v>30</v>
      </c>
      <c r="F322" s="3" t="s">
        <v>21</v>
      </c>
      <c r="G322" s="3">
        <v>861</v>
      </c>
      <c r="H322" s="3">
        <v>120</v>
      </c>
      <c r="I322" s="3">
        <v>137</v>
      </c>
      <c r="J322" s="3">
        <f t="shared" si="3"/>
        <v>117957</v>
      </c>
      <c r="K322" s="4">
        <v>0.14000000000000001</v>
      </c>
      <c r="L322" s="3">
        <f t="shared" si="4"/>
        <v>118122.1398</v>
      </c>
      <c r="M322" s="3">
        <f t="shared" si="5"/>
        <v>103320</v>
      </c>
    </row>
    <row r="323" spans="1:13" ht="14.25" customHeight="1" x14ac:dyDescent="0.25">
      <c r="A323" s="3">
        <v>355</v>
      </c>
      <c r="B323" s="6">
        <v>44444</v>
      </c>
      <c r="C323" s="3" t="s">
        <v>26</v>
      </c>
      <c r="D323" s="3" t="s">
        <v>25</v>
      </c>
      <c r="E323" s="3" t="s">
        <v>30</v>
      </c>
      <c r="F323" s="3" t="s">
        <v>16</v>
      </c>
      <c r="G323" s="3">
        <v>853</v>
      </c>
      <c r="H323" s="3">
        <v>120</v>
      </c>
      <c r="I323" s="3">
        <v>140</v>
      </c>
      <c r="J323" s="3">
        <f t="shared" si="3"/>
        <v>119420</v>
      </c>
      <c r="K323" s="4">
        <v>0.21</v>
      </c>
      <c r="L323" s="3">
        <f t="shared" si="4"/>
        <v>119670.78200000001</v>
      </c>
      <c r="M323" s="3">
        <f t="shared" si="5"/>
        <v>102360</v>
      </c>
    </row>
    <row r="324" spans="1:13" ht="14.25" customHeight="1" x14ac:dyDescent="0.25">
      <c r="A324" s="3">
        <v>461</v>
      </c>
      <c r="B324" s="6">
        <v>45841</v>
      </c>
      <c r="C324" s="3" t="s">
        <v>23</v>
      </c>
      <c r="D324" s="3" t="s">
        <v>20</v>
      </c>
      <c r="E324" s="3" t="s">
        <v>32</v>
      </c>
      <c r="F324" s="3" t="s">
        <v>16</v>
      </c>
      <c r="G324" s="3">
        <v>410</v>
      </c>
      <c r="H324" s="3">
        <v>260</v>
      </c>
      <c r="I324" s="3">
        <v>296</v>
      </c>
      <c r="J324" s="3">
        <f t="shared" si="3"/>
        <v>121360</v>
      </c>
      <c r="K324" s="4">
        <v>0.25</v>
      </c>
      <c r="L324" s="3">
        <f t="shared" si="4"/>
        <v>121663.4</v>
      </c>
      <c r="M324" s="3">
        <f t="shared" si="5"/>
        <v>106600</v>
      </c>
    </row>
    <row r="325" spans="1:13" ht="14.25" customHeight="1" x14ac:dyDescent="0.25">
      <c r="A325" s="3">
        <v>515</v>
      </c>
      <c r="B325" s="6">
        <v>45874</v>
      </c>
      <c r="C325" s="3" t="s">
        <v>23</v>
      </c>
      <c r="D325" s="3" t="s">
        <v>17</v>
      </c>
      <c r="E325" s="3" t="s">
        <v>30</v>
      </c>
      <c r="F325" s="3" t="s">
        <v>16</v>
      </c>
      <c r="G325" s="3">
        <v>914</v>
      </c>
      <c r="H325" s="3">
        <v>120</v>
      </c>
      <c r="I325" s="3">
        <v>134</v>
      </c>
      <c r="J325" s="3">
        <f t="shared" si="3"/>
        <v>122476</v>
      </c>
      <c r="K325" s="4">
        <v>0.23</v>
      </c>
      <c r="L325" s="3">
        <f t="shared" si="4"/>
        <v>122757.6948</v>
      </c>
      <c r="M325" s="3">
        <f t="shared" si="5"/>
        <v>109680</v>
      </c>
    </row>
    <row r="326" spans="1:13" ht="14.25" customHeight="1" x14ac:dyDescent="0.25">
      <c r="A326" s="3">
        <v>299</v>
      </c>
      <c r="B326" s="6">
        <v>44300</v>
      </c>
      <c r="C326" s="3" t="s">
        <v>13</v>
      </c>
      <c r="D326" s="3" t="s">
        <v>17</v>
      </c>
      <c r="E326" s="3" t="s">
        <v>31</v>
      </c>
      <c r="F326" s="3" t="s">
        <v>21</v>
      </c>
      <c r="G326" s="3">
        <v>436.5</v>
      </c>
      <c r="H326" s="3">
        <v>250</v>
      </c>
      <c r="I326" s="3">
        <v>282</v>
      </c>
      <c r="J326" s="3">
        <f t="shared" si="3"/>
        <v>123093</v>
      </c>
      <c r="K326" s="4">
        <v>0.1</v>
      </c>
      <c r="L326" s="3">
        <f t="shared" si="4"/>
        <v>123216.09299999999</v>
      </c>
      <c r="M326" s="3">
        <f t="shared" si="5"/>
        <v>109125</v>
      </c>
    </row>
    <row r="327" spans="1:13" ht="14.25" customHeight="1" x14ac:dyDescent="0.25">
      <c r="A327" s="3">
        <v>213</v>
      </c>
      <c r="B327" s="6">
        <v>44550</v>
      </c>
      <c r="C327" s="3" t="s">
        <v>29</v>
      </c>
      <c r="D327" s="3" t="s">
        <v>14</v>
      </c>
      <c r="E327" s="3" t="s">
        <v>30</v>
      </c>
      <c r="F327" s="3" t="s">
        <v>21</v>
      </c>
      <c r="G327" s="3">
        <v>952</v>
      </c>
      <c r="H327" s="3">
        <v>120</v>
      </c>
      <c r="I327" s="3">
        <v>142</v>
      </c>
      <c r="J327" s="3">
        <f t="shared" si="3"/>
        <v>135184</v>
      </c>
      <c r="K327" s="4">
        <v>0.11</v>
      </c>
      <c r="L327" s="3">
        <f t="shared" si="4"/>
        <v>135332.70240000001</v>
      </c>
      <c r="M327" s="3">
        <f t="shared" si="5"/>
        <v>114240</v>
      </c>
    </row>
    <row r="328" spans="1:13" ht="14.25" customHeight="1" x14ac:dyDescent="0.25">
      <c r="A328" s="3">
        <v>225</v>
      </c>
      <c r="B328" s="6">
        <v>45911</v>
      </c>
      <c r="C328" s="3" t="s">
        <v>13</v>
      </c>
      <c r="D328" s="3" t="s">
        <v>22</v>
      </c>
      <c r="E328" s="3" t="s">
        <v>30</v>
      </c>
      <c r="F328" s="3" t="s">
        <v>21</v>
      </c>
      <c r="G328" s="3">
        <v>1001</v>
      </c>
      <c r="H328" s="3">
        <v>120</v>
      </c>
      <c r="I328" s="3">
        <v>135</v>
      </c>
      <c r="J328" s="3">
        <f t="shared" si="3"/>
        <v>135135</v>
      </c>
      <c r="K328" s="4">
        <v>0.18</v>
      </c>
      <c r="L328" s="3">
        <f t="shared" si="4"/>
        <v>135378.24299999999</v>
      </c>
      <c r="M328" s="3">
        <f t="shared" si="5"/>
        <v>120120</v>
      </c>
    </row>
    <row r="329" spans="1:13" ht="14.25" customHeight="1" x14ac:dyDescent="0.25">
      <c r="A329" s="3">
        <v>290</v>
      </c>
      <c r="B329" s="6">
        <v>44202</v>
      </c>
      <c r="C329" s="3" t="s">
        <v>13</v>
      </c>
      <c r="D329" s="3" t="s">
        <v>22</v>
      </c>
      <c r="E329" s="3" t="s">
        <v>31</v>
      </c>
      <c r="F329" s="3" t="s">
        <v>21</v>
      </c>
      <c r="G329" s="3">
        <v>422</v>
      </c>
      <c r="H329" s="3">
        <v>250</v>
      </c>
      <c r="I329" s="3">
        <v>322</v>
      </c>
      <c r="J329" s="3">
        <f t="shared" si="3"/>
        <v>135884</v>
      </c>
      <c r="K329" s="4">
        <v>0.1</v>
      </c>
      <c r="L329" s="3">
        <f t="shared" si="4"/>
        <v>136019.88399999999</v>
      </c>
      <c r="M329" s="3">
        <f t="shared" si="5"/>
        <v>105500</v>
      </c>
    </row>
    <row r="330" spans="1:13" ht="14.25" customHeight="1" x14ac:dyDescent="0.25">
      <c r="A330" s="3">
        <v>359</v>
      </c>
      <c r="B330" s="6">
        <v>44644</v>
      </c>
      <c r="C330" s="3" t="s">
        <v>26</v>
      </c>
      <c r="D330" s="3" t="s">
        <v>20</v>
      </c>
      <c r="E330" s="3" t="s">
        <v>31</v>
      </c>
      <c r="F330" s="3" t="s">
        <v>16</v>
      </c>
      <c r="G330" s="3">
        <v>432</v>
      </c>
      <c r="H330" s="3">
        <v>250</v>
      </c>
      <c r="I330" s="3">
        <v>316</v>
      </c>
      <c r="J330" s="3">
        <f t="shared" si="3"/>
        <v>136512</v>
      </c>
      <c r="K330" s="4">
        <v>0.2</v>
      </c>
      <c r="L330" s="3">
        <f t="shared" si="4"/>
        <v>136785.024</v>
      </c>
      <c r="M330" s="3">
        <f t="shared" si="5"/>
        <v>108000</v>
      </c>
    </row>
    <row r="331" spans="1:13" ht="14.25" customHeight="1" x14ac:dyDescent="0.25">
      <c r="A331" s="3">
        <v>415</v>
      </c>
      <c r="B331" s="6">
        <v>44431</v>
      </c>
      <c r="C331" s="3" t="s">
        <v>13</v>
      </c>
      <c r="D331" s="3" t="s">
        <v>17</v>
      </c>
      <c r="E331" s="3" t="s">
        <v>30</v>
      </c>
      <c r="F331" s="3" t="s">
        <v>16</v>
      </c>
      <c r="G331" s="3">
        <v>986</v>
      </c>
      <c r="H331" s="3">
        <v>120</v>
      </c>
      <c r="I331" s="3">
        <v>140</v>
      </c>
      <c r="J331" s="3">
        <f t="shared" si="3"/>
        <v>138040</v>
      </c>
      <c r="K331" s="4">
        <v>0.2</v>
      </c>
      <c r="L331" s="3">
        <f t="shared" si="4"/>
        <v>138316.07999999999</v>
      </c>
      <c r="M331" s="3">
        <f t="shared" si="5"/>
        <v>118320</v>
      </c>
    </row>
    <row r="332" spans="1:13" ht="14.25" customHeight="1" x14ac:dyDescent="0.25">
      <c r="A332" s="3">
        <v>338</v>
      </c>
      <c r="B332" s="6">
        <v>44450</v>
      </c>
      <c r="C332" s="3" t="s">
        <v>13</v>
      </c>
      <c r="D332" s="3" t="s">
        <v>20</v>
      </c>
      <c r="E332" s="3" t="s">
        <v>31</v>
      </c>
      <c r="F332" s="3" t="s">
        <v>21</v>
      </c>
      <c r="G332" s="3">
        <v>521</v>
      </c>
      <c r="H332" s="3">
        <v>250</v>
      </c>
      <c r="I332" s="3">
        <v>267</v>
      </c>
      <c r="J332" s="3">
        <f t="shared" si="3"/>
        <v>139107</v>
      </c>
      <c r="K332" s="4">
        <v>0.1</v>
      </c>
      <c r="L332" s="3">
        <f t="shared" si="4"/>
        <v>139246.10699999999</v>
      </c>
      <c r="M332" s="3">
        <f t="shared" si="5"/>
        <v>130250</v>
      </c>
    </row>
    <row r="333" spans="1:13" ht="14.25" customHeight="1" x14ac:dyDescent="0.25">
      <c r="A333" s="3">
        <v>350</v>
      </c>
      <c r="B333" s="6">
        <v>44656</v>
      </c>
      <c r="C333" s="3" t="s">
        <v>24</v>
      </c>
      <c r="D333" s="3" t="s">
        <v>17</v>
      </c>
      <c r="E333" s="3" t="s">
        <v>30</v>
      </c>
      <c r="F333" s="3" t="s">
        <v>16</v>
      </c>
      <c r="G333" s="3">
        <v>790</v>
      </c>
      <c r="H333" s="3">
        <v>120</v>
      </c>
      <c r="I333" s="3">
        <v>177</v>
      </c>
      <c r="J333" s="3">
        <f t="shared" si="3"/>
        <v>139830</v>
      </c>
      <c r="K333" s="4">
        <v>0.25</v>
      </c>
      <c r="L333" s="3">
        <f t="shared" si="4"/>
        <v>140179.57500000001</v>
      </c>
      <c r="M333" s="3">
        <f t="shared" si="5"/>
        <v>94800</v>
      </c>
    </row>
    <row r="334" spans="1:13" ht="14.25" customHeight="1" x14ac:dyDescent="0.25">
      <c r="A334" s="3">
        <v>416</v>
      </c>
      <c r="B334" s="6">
        <v>45616</v>
      </c>
      <c r="C334" s="3" t="s">
        <v>13</v>
      </c>
      <c r="D334" s="3" t="s">
        <v>20</v>
      </c>
      <c r="E334" s="3" t="s">
        <v>30</v>
      </c>
      <c r="F334" s="3" t="s">
        <v>16</v>
      </c>
      <c r="G334" s="3">
        <v>905</v>
      </c>
      <c r="H334" s="3">
        <v>120</v>
      </c>
      <c r="I334" s="3">
        <v>156</v>
      </c>
      <c r="J334" s="3">
        <f t="shared" si="3"/>
        <v>141180</v>
      </c>
      <c r="K334" s="4">
        <v>0.24</v>
      </c>
      <c r="L334" s="3">
        <f t="shared" si="4"/>
        <v>141518.83199999999</v>
      </c>
      <c r="M334" s="3">
        <f t="shared" si="5"/>
        <v>108600</v>
      </c>
    </row>
    <row r="335" spans="1:13" ht="14.25" customHeight="1" x14ac:dyDescent="0.25">
      <c r="A335" s="3">
        <v>99</v>
      </c>
      <c r="B335" s="6">
        <v>44569</v>
      </c>
      <c r="C335" s="3" t="s">
        <v>23</v>
      </c>
      <c r="D335" s="3" t="s">
        <v>25</v>
      </c>
      <c r="E335" s="3" t="s">
        <v>30</v>
      </c>
      <c r="F335" s="3" t="s">
        <v>19</v>
      </c>
      <c r="G335" s="3">
        <v>1055</v>
      </c>
      <c r="H335" s="3">
        <v>120</v>
      </c>
      <c r="I335" s="3">
        <v>136</v>
      </c>
      <c r="J335" s="3">
        <f t="shared" si="3"/>
        <v>143480</v>
      </c>
      <c r="K335" s="4">
        <v>0.04</v>
      </c>
      <c r="L335" s="3">
        <f t="shared" si="4"/>
        <v>143537.39199999999</v>
      </c>
      <c r="M335" s="3">
        <f t="shared" si="5"/>
        <v>126600</v>
      </c>
    </row>
    <row r="336" spans="1:13" ht="14.25" customHeight="1" x14ac:dyDescent="0.25">
      <c r="A336" s="3">
        <v>192</v>
      </c>
      <c r="B336" s="6">
        <v>44278</v>
      </c>
      <c r="C336" s="3" t="s">
        <v>29</v>
      </c>
      <c r="D336" s="3" t="s">
        <v>22</v>
      </c>
      <c r="E336" s="3" t="s">
        <v>30</v>
      </c>
      <c r="F336" s="3" t="s">
        <v>21</v>
      </c>
      <c r="G336" s="3">
        <v>807</v>
      </c>
      <c r="H336" s="3">
        <v>120</v>
      </c>
      <c r="I336" s="3">
        <v>179</v>
      </c>
      <c r="J336" s="3">
        <f t="shared" si="3"/>
        <v>144453</v>
      </c>
      <c r="K336" s="4">
        <v>0.19</v>
      </c>
      <c r="L336" s="3">
        <f t="shared" si="4"/>
        <v>144727.4607</v>
      </c>
      <c r="M336" s="3">
        <f t="shared" si="5"/>
        <v>96840</v>
      </c>
    </row>
    <row r="337" spans="1:13" ht="14.25" customHeight="1" x14ac:dyDescent="0.25">
      <c r="A337" s="3">
        <v>29</v>
      </c>
      <c r="B337" s="6">
        <v>45740</v>
      </c>
      <c r="C337" s="3" t="s">
        <v>13</v>
      </c>
      <c r="D337" s="3" t="s">
        <v>22</v>
      </c>
      <c r="E337" s="3" t="s">
        <v>30</v>
      </c>
      <c r="F337" s="3" t="s">
        <v>28</v>
      </c>
      <c r="G337" s="3">
        <v>1006</v>
      </c>
      <c r="H337" s="3">
        <v>120</v>
      </c>
      <c r="I337" s="3">
        <v>144</v>
      </c>
      <c r="J337" s="3">
        <f t="shared" si="3"/>
        <v>144864</v>
      </c>
      <c r="K337" s="4">
        <v>0</v>
      </c>
      <c r="L337" s="3">
        <f t="shared" si="4"/>
        <v>144864</v>
      </c>
      <c r="M337" s="3">
        <f t="shared" si="5"/>
        <v>120720</v>
      </c>
    </row>
    <row r="338" spans="1:13" ht="14.25" customHeight="1" x14ac:dyDescent="0.25">
      <c r="A338" s="3">
        <v>72</v>
      </c>
      <c r="B338" s="6">
        <v>44852</v>
      </c>
      <c r="C338" s="3" t="s">
        <v>29</v>
      </c>
      <c r="D338" s="3" t="s">
        <v>14</v>
      </c>
      <c r="E338" s="3" t="s">
        <v>30</v>
      </c>
      <c r="F338" s="3" t="s">
        <v>19</v>
      </c>
      <c r="G338" s="3">
        <v>923</v>
      </c>
      <c r="H338" s="3">
        <v>120</v>
      </c>
      <c r="I338" s="3">
        <v>163</v>
      </c>
      <c r="J338" s="3">
        <f t="shared" si="3"/>
        <v>150449</v>
      </c>
      <c r="K338" s="4">
        <v>7.0000000000000007E-2</v>
      </c>
      <c r="L338" s="3">
        <f t="shared" si="4"/>
        <v>150554.3143</v>
      </c>
      <c r="M338" s="3">
        <f t="shared" si="5"/>
        <v>110760</v>
      </c>
    </row>
    <row r="339" spans="1:13" ht="14.25" customHeight="1" x14ac:dyDescent="0.25">
      <c r="A339" s="3">
        <v>519</v>
      </c>
      <c r="B339" s="6">
        <v>44376</v>
      </c>
      <c r="C339" s="3" t="s">
        <v>29</v>
      </c>
      <c r="D339" s="3" t="s">
        <v>22</v>
      </c>
      <c r="E339" s="3" t="s">
        <v>31</v>
      </c>
      <c r="F339" s="3" t="s">
        <v>16</v>
      </c>
      <c r="G339" s="3">
        <v>552</v>
      </c>
      <c r="H339" s="3">
        <v>250</v>
      </c>
      <c r="I339" s="3">
        <v>284</v>
      </c>
      <c r="J339" s="3">
        <f t="shared" si="3"/>
        <v>156768</v>
      </c>
      <c r="K339" s="4">
        <v>0.22</v>
      </c>
      <c r="L339" s="3">
        <f t="shared" si="4"/>
        <v>157112.88959999999</v>
      </c>
      <c r="M339" s="3">
        <f t="shared" si="5"/>
        <v>138000</v>
      </c>
    </row>
    <row r="340" spans="1:13" ht="14.25" customHeight="1" x14ac:dyDescent="0.25">
      <c r="A340" s="3">
        <v>517</v>
      </c>
      <c r="B340" s="6">
        <v>45894</v>
      </c>
      <c r="C340" s="3" t="s">
        <v>24</v>
      </c>
      <c r="D340" s="3" t="s">
        <v>22</v>
      </c>
      <c r="E340" s="3" t="s">
        <v>31</v>
      </c>
      <c r="F340" s="3" t="s">
        <v>16</v>
      </c>
      <c r="G340" s="3">
        <v>492</v>
      </c>
      <c r="H340" s="3">
        <v>250</v>
      </c>
      <c r="I340" s="3">
        <v>330</v>
      </c>
      <c r="J340" s="3">
        <f t="shared" si="3"/>
        <v>162360</v>
      </c>
      <c r="K340" s="4">
        <v>0.25</v>
      </c>
      <c r="L340" s="3">
        <f t="shared" si="4"/>
        <v>162765.9</v>
      </c>
      <c r="M340" s="3">
        <f t="shared" si="5"/>
        <v>123000</v>
      </c>
    </row>
    <row r="341" spans="1:13" ht="14.25" customHeight="1" x14ac:dyDescent="0.25">
      <c r="A341" s="3">
        <v>375</v>
      </c>
      <c r="B341" s="6">
        <v>44202</v>
      </c>
      <c r="C341" s="3" t="s">
        <v>23</v>
      </c>
      <c r="D341" s="3" t="s">
        <v>22</v>
      </c>
      <c r="E341" s="3" t="s">
        <v>32</v>
      </c>
      <c r="F341" s="3" t="s">
        <v>16</v>
      </c>
      <c r="G341" s="3">
        <v>472</v>
      </c>
      <c r="H341" s="3">
        <v>260</v>
      </c>
      <c r="I341" s="3">
        <v>348</v>
      </c>
      <c r="J341" s="3">
        <f t="shared" si="3"/>
        <v>164256</v>
      </c>
      <c r="K341" s="4">
        <v>0.25</v>
      </c>
      <c r="L341" s="3">
        <f t="shared" si="4"/>
        <v>164666.64000000001</v>
      </c>
      <c r="M341" s="3">
        <f t="shared" si="5"/>
        <v>122720</v>
      </c>
    </row>
    <row r="342" spans="1:13" ht="14.25" customHeight="1" x14ac:dyDescent="0.25">
      <c r="A342" s="3">
        <v>100</v>
      </c>
      <c r="B342" s="6">
        <v>45593</v>
      </c>
      <c r="C342" s="3" t="s">
        <v>23</v>
      </c>
      <c r="D342" s="3" t="s">
        <v>20</v>
      </c>
      <c r="E342" s="3" t="s">
        <v>30</v>
      </c>
      <c r="F342" s="3" t="s">
        <v>19</v>
      </c>
      <c r="G342" s="3">
        <v>1084</v>
      </c>
      <c r="H342" s="3">
        <v>120</v>
      </c>
      <c r="I342" s="3">
        <v>156</v>
      </c>
      <c r="J342" s="3">
        <f t="shared" si="3"/>
        <v>169104</v>
      </c>
      <c r="K342" s="4">
        <v>0.06</v>
      </c>
      <c r="L342" s="3">
        <f t="shared" si="4"/>
        <v>169205.46239999999</v>
      </c>
      <c r="M342" s="3">
        <f t="shared" si="5"/>
        <v>130080</v>
      </c>
    </row>
    <row r="343" spans="1:13" ht="14.25" customHeight="1" x14ac:dyDescent="0.25">
      <c r="A343" s="3">
        <v>456</v>
      </c>
      <c r="B343" s="6">
        <v>45292</v>
      </c>
      <c r="C343" s="3" t="s">
        <v>23</v>
      </c>
      <c r="D343" s="3" t="s">
        <v>22</v>
      </c>
      <c r="E343" s="3" t="s">
        <v>30</v>
      </c>
      <c r="F343" s="3" t="s">
        <v>16</v>
      </c>
      <c r="G343" s="3">
        <v>1013</v>
      </c>
      <c r="H343" s="3">
        <v>120</v>
      </c>
      <c r="I343" s="3">
        <v>169</v>
      </c>
      <c r="J343" s="3">
        <f t="shared" si="3"/>
        <v>171197</v>
      </c>
      <c r="K343" s="4">
        <v>0.25</v>
      </c>
      <c r="L343" s="3">
        <f t="shared" si="4"/>
        <v>171624.99249999999</v>
      </c>
      <c r="M343" s="3">
        <f t="shared" si="5"/>
        <v>121560</v>
      </c>
    </row>
    <row r="344" spans="1:13" ht="14.25" customHeight="1" x14ac:dyDescent="0.25">
      <c r="A344" s="3">
        <v>233</v>
      </c>
      <c r="B344" s="6">
        <v>45421</v>
      </c>
      <c r="C344" s="3" t="s">
        <v>13</v>
      </c>
      <c r="D344" s="3" t="s">
        <v>14</v>
      </c>
      <c r="E344" s="3" t="s">
        <v>30</v>
      </c>
      <c r="F344" s="3" t="s">
        <v>21</v>
      </c>
      <c r="G344" s="3">
        <v>1135</v>
      </c>
      <c r="H344" s="3">
        <v>120</v>
      </c>
      <c r="I344" s="3">
        <v>153</v>
      </c>
      <c r="J344" s="3">
        <f t="shared" si="3"/>
        <v>173655</v>
      </c>
      <c r="K344" s="4">
        <v>0.18</v>
      </c>
      <c r="L344" s="3">
        <f t="shared" si="4"/>
        <v>173967.579</v>
      </c>
      <c r="M344" s="3">
        <f t="shared" si="5"/>
        <v>136200</v>
      </c>
    </row>
    <row r="345" spans="1:13" ht="14.25" customHeight="1" x14ac:dyDescent="0.25">
      <c r="A345" s="3">
        <v>357</v>
      </c>
      <c r="B345" s="6">
        <v>45278</v>
      </c>
      <c r="C345" s="3" t="s">
        <v>24</v>
      </c>
      <c r="D345" s="3" t="s">
        <v>20</v>
      </c>
      <c r="E345" s="3" t="s">
        <v>31</v>
      </c>
      <c r="F345" s="3" t="s">
        <v>16</v>
      </c>
      <c r="G345" s="3">
        <v>641</v>
      </c>
      <c r="H345" s="3">
        <v>250</v>
      </c>
      <c r="I345" s="3">
        <v>273</v>
      </c>
      <c r="J345" s="3">
        <f t="shared" si="3"/>
        <v>174993</v>
      </c>
      <c r="K345" s="4">
        <v>0.25</v>
      </c>
      <c r="L345" s="3">
        <f t="shared" si="4"/>
        <v>175430.48250000001</v>
      </c>
      <c r="M345" s="3">
        <f t="shared" si="5"/>
        <v>160250</v>
      </c>
    </row>
    <row r="346" spans="1:13" ht="14.25" customHeight="1" x14ac:dyDescent="0.25">
      <c r="A346" s="3">
        <v>199</v>
      </c>
      <c r="B346" s="6">
        <v>45563</v>
      </c>
      <c r="C346" s="3" t="s">
        <v>13</v>
      </c>
      <c r="D346" s="3" t="s">
        <v>17</v>
      </c>
      <c r="E346" s="3" t="s">
        <v>31</v>
      </c>
      <c r="F346" s="3" t="s">
        <v>21</v>
      </c>
      <c r="G346" s="3">
        <v>570</v>
      </c>
      <c r="H346" s="3">
        <v>250</v>
      </c>
      <c r="I346" s="3">
        <v>310</v>
      </c>
      <c r="J346" s="3">
        <f t="shared" si="3"/>
        <v>176700</v>
      </c>
      <c r="K346" s="4">
        <v>0.14000000000000001</v>
      </c>
      <c r="L346" s="3">
        <f t="shared" si="4"/>
        <v>176947.38</v>
      </c>
      <c r="M346" s="3">
        <f t="shared" si="5"/>
        <v>142500</v>
      </c>
    </row>
    <row r="347" spans="1:13" ht="14.25" customHeight="1" x14ac:dyDescent="0.25">
      <c r="A347" s="3">
        <v>522</v>
      </c>
      <c r="B347" s="6">
        <v>44876</v>
      </c>
      <c r="C347" s="3" t="s">
        <v>26</v>
      </c>
      <c r="D347" s="3" t="s">
        <v>20</v>
      </c>
      <c r="E347" s="3" t="s">
        <v>32</v>
      </c>
      <c r="F347" s="3" t="s">
        <v>16</v>
      </c>
      <c r="G347" s="3">
        <v>546</v>
      </c>
      <c r="H347" s="3">
        <v>260</v>
      </c>
      <c r="I347" s="3">
        <v>324</v>
      </c>
      <c r="J347" s="3">
        <f t="shared" si="3"/>
        <v>176904</v>
      </c>
      <c r="K347" s="4">
        <v>0.21</v>
      </c>
      <c r="L347" s="3">
        <f t="shared" si="4"/>
        <v>177275.49840000001</v>
      </c>
      <c r="M347" s="3">
        <f t="shared" si="5"/>
        <v>141960</v>
      </c>
    </row>
    <row r="348" spans="1:13" ht="14.25" customHeight="1" x14ac:dyDescent="0.25">
      <c r="A348" s="3">
        <v>287</v>
      </c>
      <c r="B348" s="6">
        <v>45686</v>
      </c>
      <c r="C348" s="3" t="s">
        <v>13</v>
      </c>
      <c r="D348" s="3" t="s">
        <v>25</v>
      </c>
      <c r="E348" s="3" t="s">
        <v>31</v>
      </c>
      <c r="F348" s="3" t="s">
        <v>21</v>
      </c>
      <c r="G348" s="3">
        <v>574.5</v>
      </c>
      <c r="H348" s="3">
        <v>250</v>
      </c>
      <c r="I348" s="3">
        <v>312</v>
      </c>
      <c r="J348" s="3">
        <f t="shared" si="3"/>
        <v>179244</v>
      </c>
      <c r="K348" s="4">
        <v>0.18</v>
      </c>
      <c r="L348" s="3">
        <f t="shared" si="4"/>
        <v>179566.63920000001</v>
      </c>
      <c r="M348" s="3">
        <f t="shared" si="5"/>
        <v>143625</v>
      </c>
    </row>
    <row r="349" spans="1:13" ht="14.25" customHeight="1" x14ac:dyDescent="0.25">
      <c r="A349" s="3">
        <v>453</v>
      </c>
      <c r="B349" s="6">
        <v>45953</v>
      </c>
      <c r="C349" s="3" t="s">
        <v>13</v>
      </c>
      <c r="D349" s="3" t="s">
        <v>25</v>
      </c>
      <c r="E349" s="3" t="s">
        <v>30</v>
      </c>
      <c r="F349" s="3" t="s">
        <v>16</v>
      </c>
      <c r="G349" s="3">
        <v>1190</v>
      </c>
      <c r="H349" s="3">
        <v>120</v>
      </c>
      <c r="I349" s="3">
        <v>152</v>
      </c>
      <c r="J349" s="3">
        <f t="shared" si="3"/>
        <v>180880</v>
      </c>
      <c r="K349" s="4">
        <v>0.21</v>
      </c>
      <c r="L349" s="3">
        <f t="shared" si="4"/>
        <v>181259.848</v>
      </c>
      <c r="M349" s="3">
        <f t="shared" si="5"/>
        <v>142800</v>
      </c>
    </row>
    <row r="350" spans="1:13" ht="14.25" customHeight="1" x14ac:dyDescent="0.25">
      <c r="A350" s="3">
        <v>393</v>
      </c>
      <c r="B350" s="6">
        <v>45195</v>
      </c>
      <c r="C350" s="3" t="s">
        <v>29</v>
      </c>
      <c r="D350" s="3" t="s">
        <v>20</v>
      </c>
      <c r="E350" s="3" t="s">
        <v>31</v>
      </c>
      <c r="F350" s="3" t="s">
        <v>16</v>
      </c>
      <c r="G350" s="3">
        <v>554</v>
      </c>
      <c r="H350" s="3">
        <v>250</v>
      </c>
      <c r="I350" s="3">
        <v>331</v>
      </c>
      <c r="J350" s="3">
        <f t="shared" si="3"/>
        <v>183374</v>
      </c>
      <c r="K350" s="4">
        <v>0.24</v>
      </c>
      <c r="L350" s="3">
        <f t="shared" si="4"/>
        <v>183814.09760000001</v>
      </c>
      <c r="M350" s="3">
        <f t="shared" si="5"/>
        <v>138500</v>
      </c>
    </row>
    <row r="351" spans="1:13" ht="14.25" customHeight="1" x14ac:dyDescent="0.25">
      <c r="A351" s="3">
        <v>202</v>
      </c>
      <c r="B351" s="6">
        <v>45714</v>
      </c>
      <c r="C351" s="3" t="s">
        <v>13</v>
      </c>
      <c r="D351" s="3" t="s">
        <v>14</v>
      </c>
      <c r="E351" s="3" t="s">
        <v>32</v>
      </c>
      <c r="F351" s="3" t="s">
        <v>21</v>
      </c>
      <c r="G351" s="3">
        <v>552</v>
      </c>
      <c r="H351" s="3">
        <v>260</v>
      </c>
      <c r="I351" s="3">
        <v>335</v>
      </c>
      <c r="J351" s="3">
        <f t="shared" si="3"/>
        <v>184920</v>
      </c>
      <c r="K351" s="4">
        <v>0.19</v>
      </c>
      <c r="L351" s="3">
        <f t="shared" si="4"/>
        <v>185271.348</v>
      </c>
      <c r="M351" s="3">
        <f t="shared" si="5"/>
        <v>143520</v>
      </c>
    </row>
    <row r="352" spans="1:13" ht="14.25" customHeight="1" x14ac:dyDescent="0.25">
      <c r="A352" s="3">
        <v>101</v>
      </c>
      <c r="B352" s="6">
        <v>45232</v>
      </c>
      <c r="C352" s="3" t="s">
        <v>29</v>
      </c>
      <c r="D352" s="3" t="s">
        <v>20</v>
      </c>
      <c r="E352" s="3" t="s">
        <v>31</v>
      </c>
      <c r="F352" s="3" t="s">
        <v>19</v>
      </c>
      <c r="G352" s="3">
        <v>662</v>
      </c>
      <c r="H352" s="3">
        <v>250</v>
      </c>
      <c r="I352" s="3">
        <v>280</v>
      </c>
      <c r="J352" s="3">
        <f t="shared" si="3"/>
        <v>185360</v>
      </c>
      <c r="K352" s="4">
        <v>0.08</v>
      </c>
      <c r="L352" s="3">
        <f t="shared" si="4"/>
        <v>185508.288</v>
      </c>
      <c r="M352" s="3">
        <f t="shared" si="5"/>
        <v>165500</v>
      </c>
    </row>
    <row r="353" spans="1:13" ht="14.25" customHeight="1" x14ac:dyDescent="0.25">
      <c r="A353" s="3">
        <v>414</v>
      </c>
      <c r="B353" s="6">
        <v>45441</v>
      </c>
      <c r="C353" s="3" t="s">
        <v>13</v>
      </c>
      <c r="D353" s="3" t="s">
        <v>20</v>
      </c>
      <c r="E353" s="3" t="s">
        <v>30</v>
      </c>
      <c r="F353" s="3" t="s">
        <v>16</v>
      </c>
      <c r="G353" s="3">
        <v>1395</v>
      </c>
      <c r="H353" s="3">
        <v>120</v>
      </c>
      <c r="I353" s="3">
        <v>134</v>
      </c>
      <c r="J353" s="3">
        <f t="shared" si="3"/>
        <v>186930</v>
      </c>
      <c r="K353" s="4">
        <v>0.23</v>
      </c>
      <c r="L353" s="3">
        <f t="shared" si="4"/>
        <v>187359.93900000001</v>
      </c>
      <c r="M353" s="3">
        <f t="shared" si="5"/>
        <v>167400</v>
      </c>
    </row>
    <row r="354" spans="1:13" ht="14.25" customHeight="1" x14ac:dyDescent="0.25">
      <c r="A354" s="3">
        <v>317</v>
      </c>
      <c r="B354" s="6">
        <v>44754</v>
      </c>
      <c r="C354" s="3" t="s">
        <v>13</v>
      </c>
      <c r="D354" s="3" t="s">
        <v>14</v>
      </c>
      <c r="E354" s="3" t="s">
        <v>30</v>
      </c>
      <c r="F354" s="3" t="s">
        <v>21</v>
      </c>
      <c r="G354" s="3">
        <v>1269</v>
      </c>
      <c r="H354" s="3">
        <v>120</v>
      </c>
      <c r="I354" s="3">
        <v>148</v>
      </c>
      <c r="J354" s="3">
        <f t="shared" si="3"/>
        <v>187812</v>
      </c>
      <c r="K354" s="4">
        <v>0.16</v>
      </c>
      <c r="L354" s="3">
        <f t="shared" si="4"/>
        <v>188112.49919999999</v>
      </c>
      <c r="M354" s="3">
        <f t="shared" si="5"/>
        <v>152280</v>
      </c>
    </row>
    <row r="355" spans="1:13" ht="14.25" customHeight="1" x14ac:dyDescent="0.25">
      <c r="A355" s="3">
        <v>45</v>
      </c>
      <c r="B355" s="6">
        <v>45306</v>
      </c>
      <c r="C355" s="3" t="s">
        <v>24</v>
      </c>
      <c r="D355" s="3" t="s">
        <v>17</v>
      </c>
      <c r="E355" s="3" t="s">
        <v>32</v>
      </c>
      <c r="F355" s="3" t="s">
        <v>28</v>
      </c>
      <c r="G355" s="3">
        <v>615</v>
      </c>
      <c r="H355" s="3">
        <v>260</v>
      </c>
      <c r="I355" s="3">
        <v>306</v>
      </c>
      <c r="J355" s="3">
        <f t="shared" si="3"/>
        <v>188190</v>
      </c>
      <c r="K355" s="4">
        <v>0</v>
      </c>
      <c r="L355" s="3">
        <f t="shared" si="4"/>
        <v>188190</v>
      </c>
      <c r="M355" s="3">
        <f t="shared" si="5"/>
        <v>159900</v>
      </c>
    </row>
    <row r="356" spans="1:13" ht="14.25" customHeight="1" x14ac:dyDescent="0.25">
      <c r="A356" s="3">
        <v>226</v>
      </c>
      <c r="B356" s="6">
        <v>45013</v>
      </c>
      <c r="C356" s="3" t="s">
        <v>13</v>
      </c>
      <c r="D356" s="3" t="s">
        <v>20</v>
      </c>
      <c r="E356" s="3" t="s">
        <v>30</v>
      </c>
      <c r="F356" s="3" t="s">
        <v>21</v>
      </c>
      <c r="G356" s="3">
        <v>1333</v>
      </c>
      <c r="H356" s="3">
        <v>120</v>
      </c>
      <c r="I356" s="3">
        <v>142</v>
      </c>
      <c r="J356" s="3">
        <f t="shared" si="3"/>
        <v>189286</v>
      </c>
      <c r="K356" s="4">
        <v>0.1</v>
      </c>
      <c r="L356" s="3">
        <f t="shared" si="4"/>
        <v>189475.28599999999</v>
      </c>
      <c r="M356" s="3">
        <f t="shared" si="5"/>
        <v>159960</v>
      </c>
    </row>
    <row r="357" spans="1:13" ht="14.25" customHeight="1" x14ac:dyDescent="0.25">
      <c r="A357" s="3">
        <v>361</v>
      </c>
      <c r="B357" s="6">
        <v>44663</v>
      </c>
      <c r="C357" s="3" t="s">
        <v>29</v>
      </c>
      <c r="D357" s="3" t="s">
        <v>17</v>
      </c>
      <c r="E357" s="3" t="s">
        <v>32</v>
      </c>
      <c r="F357" s="3" t="s">
        <v>16</v>
      </c>
      <c r="G357" s="3">
        <v>579</v>
      </c>
      <c r="H357" s="3">
        <v>260</v>
      </c>
      <c r="I357" s="3">
        <v>336</v>
      </c>
      <c r="J357" s="3">
        <f t="shared" si="3"/>
        <v>194544</v>
      </c>
      <c r="K357" s="4">
        <v>0.23</v>
      </c>
      <c r="L357" s="3">
        <f t="shared" si="4"/>
        <v>194991.45120000001</v>
      </c>
      <c r="M357" s="3">
        <f t="shared" si="5"/>
        <v>150540</v>
      </c>
    </row>
    <row r="358" spans="1:13" ht="14.25" customHeight="1" x14ac:dyDescent="0.25">
      <c r="A358" s="3">
        <v>298</v>
      </c>
      <c r="B358" s="6">
        <v>44303</v>
      </c>
      <c r="C358" s="3" t="s">
        <v>26</v>
      </c>
      <c r="D358" s="3" t="s">
        <v>20</v>
      </c>
      <c r="E358" s="3" t="s">
        <v>32</v>
      </c>
      <c r="F358" s="3" t="s">
        <v>21</v>
      </c>
      <c r="G358" s="3">
        <v>635</v>
      </c>
      <c r="H358" s="3">
        <v>260</v>
      </c>
      <c r="I358" s="3">
        <v>310</v>
      </c>
      <c r="J358" s="3">
        <f t="shared" si="3"/>
        <v>196850</v>
      </c>
      <c r="K358" s="4">
        <v>0.12</v>
      </c>
      <c r="L358" s="3">
        <f t="shared" si="4"/>
        <v>197086.22</v>
      </c>
      <c r="M358" s="3">
        <f t="shared" si="5"/>
        <v>165100</v>
      </c>
    </row>
    <row r="359" spans="1:13" ht="14.25" customHeight="1" x14ac:dyDescent="0.25">
      <c r="A359" s="3">
        <v>297</v>
      </c>
      <c r="B359" s="6">
        <v>45466</v>
      </c>
      <c r="C359" s="3" t="s">
        <v>24</v>
      </c>
      <c r="D359" s="3" t="s">
        <v>22</v>
      </c>
      <c r="E359" s="3" t="s">
        <v>32</v>
      </c>
      <c r="F359" s="3" t="s">
        <v>21</v>
      </c>
      <c r="G359" s="3">
        <v>711</v>
      </c>
      <c r="H359" s="3">
        <v>260</v>
      </c>
      <c r="I359" s="3">
        <v>293</v>
      </c>
      <c r="J359" s="3">
        <f t="shared" si="3"/>
        <v>208323</v>
      </c>
      <c r="K359" s="4">
        <v>0.14000000000000001</v>
      </c>
      <c r="L359" s="3">
        <f t="shared" si="4"/>
        <v>208614.65220000001</v>
      </c>
      <c r="M359" s="3">
        <f t="shared" si="5"/>
        <v>184860</v>
      </c>
    </row>
    <row r="360" spans="1:13" ht="14.25" customHeight="1" x14ac:dyDescent="0.25">
      <c r="A360" s="3">
        <v>76</v>
      </c>
      <c r="B360" s="6">
        <v>44458</v>
      </c>
      <c r="C360" s="3" t="s">
        <v>29</v>
      </c>
      <c r="D360" s="3" t="s">
        <v>25</v>
      </c>
      <c r="E360" s="3" t="s">
        <v>31</v>
      </c>
      <c r="F360" s="3" t="s">
        <v>19</v>
      </c>
      <c r="G360" s="3">
        <v>787</v>
      </c>
      <c r="H360" s="3">
        <v>250</v>
      </c>
      <c r="I360" s="3">
        <v>269</v>
      </c>
      <c r="J360" s="3">
        <f t="shared" si="3"/>
        <v>211703</v>
      </c>
      <c r="K360" s="4">
        <v>0.09</v>
      </c>
      <c r="L360" s="3">
        <f t="shared" si="4"/>
        <v>211893.53270000001</v>
      </c>
      <c r="M360" s="3">
        <f t="shared" si="5"/>
        <v>196750</v>
      </c>
    </row>
    <row r="361" spans="1:13" ht="14.25" customHeight="1" x14ac:dyDescent="0.25">
      <c r="A361" s="3">
        <v>249</v>
      </c>
      <c r="B361" s="6">
        <v>45796</v>
      </c>
      <c r="C361" s="3" t="s">
        <v>26</v>
      </c>
      <c r="D361" s="3" t="s">
        <v>25</v>
      </c>
      <c r="E361" s="3" t="s">
        <v>30</v>
      </c>
      <c r="F361" s="3" t="s">
        <v>21</v>
      </c>
      <c r="G361" s="3">
        <v>1659</v>
      </c>
      <c r="H361" s="3">
        <v>120</v>
      </c>
      <c r="I361" s="3">
        <v>131</v>
      </c>
      <c r="J361" s="3">
        <f t="shared" si="3"/>
        <v>217329</v>
      </c>
      <c r="K361" s="4">
        <v>0.18</v>
      </c>
      <c r="L361" s="3">
        <f t="shared" si="4"/>
        <v>217720.19219999999</v>
      </c>
      <c r="M361" s="3">
        <f t="shared" si="5"/>
        <v>199080</v>
      </c>
    </row>
    <row r="362" spans="1:13" ht="14.25" customHeight="1" x14ac:dyDescent="0.25">
      <c r="A362" s="3">
        <v>197</v>
      </c>
      <c r="B362" s="6">
        <v>45374</v>
      </c>
      <c r="C362" s="3" t="s">
        <v>26</v>
      </c>
      <c r="D362" s="3" t="s">
        <v>22</v>
      </c>
      <c r="E362" s="3" t="s">
        <v>30</v>
      </c>
      <c r="F362" s="3" t="s">
        <v>21</v>
      </c>
      <c r="G362" s="3">
        <v>1250</v>
      </c>
      <c r="H362" s="3">
        <v>120</v>
      </c>
      <c r="I362" s="3">
        <v>174</v>
      </c>
      <c r="J362" s="3">
        <f t="shared" si="3"/>
        <v>217500</v>
      </c>
      <c r="K362" s="4">
        <v>0.18</v>
      </c>
      <c r="L362" s="3">
        <f t="shared" si="4"/>
        <v>217891.5</v>
      </c>
      <c r="M362" s="3">
        <f t="shared" si="5"/>
        <v>150000</v>
      </c>
    </row>
    <row r="363" spans="1:13" ht="14.25" customHeight="1" x14ac:dyDescent="0.25">
      <c r="A363" s="3">
        <v>292</v>
      </c>
      <c r="B363" s="6">
        <v>44400</v>
      </c>
      <c r="C363" s="3" t="s">
        <v>13</v>
      </c>
      <c r="D363" s="3" t="s">
        <v>14</v>
      </c>
      <c r="E363" s="3" t="s">
        <v>32</v>
      </c>
      <c r="F363" s="3" t="s">
        <v>21</v>
      </c>
      <c r="G363" s="3">
        <v>708</v>
      </c>
      <c r="H363" s="3">
        <v>260</v>
      </c>
      <c r="I363" s="3">
        <v>310</v>
      </c>
      <c r="J363" s="3">
        <f t="shared" si="3"/>
        <v>219480</v>
      </c>
      <c r="K363" s="4">
        <v>0.1</v>
      </c>
      <c r="L363" s="3">
        <f t="shared" si="4"/>
        <v>219699.48</v>
      </c>
      <c r="M363" s="3">
        <f t="shared" si="5"/>
        <v>184080</v>
      </c>
    </row>
    <row r="364" spans="1:13" ht="14.25" customHeight="1" x14ac:dyDescent="0.25">
      <c r="A364" s="3">
        <v>75</v>
      </c>
      <c r="B364" s="6">
        <v>44251</v>
      </c>
      <c r="C364" s="3" t="s">
        <v>29</v>
      </c>
      <c r="D364" s="3" t="s">
        <v>17</v>
      </c>
      <c r="E364" s="3" t="s">
        <v>31</v>
      </c>
      <c r="F364" s="3" t="s">
        <v>19</v>
      </c>
      <c r="G364" s="3">
        <v>727</v>
      </c>
      <c r="H364" s="3">
        <v>250</v>
      </c>
      <c r="I364" s="3">
        <v>304</v>
      </c>
      <c r="J364" s="3">
        <f t="shared" si="3"/>
        <v>221008</v>
      </c>
      <c r="K364" s="4">
        <v>0.02</v>
      </c>
      <c r="L364" s="3">
        <f t="shared" si="4"/>
        <v>221052.2016</v>
      </c>
      <c r="M364" s="3">
        <f t="shared" si="5"/>
        <v>181750</v>
      </c>
    </row>
    <row r="365" spans="1:13" ht="14.25" customHeight="1" x14ac:dyDescent="0.25">
      <c r="A365" s="3">
        <v>232</v>
      </c>
      <c r="B365" s="6">
        <v>45742</v>
      </c>
      <c r="C365" s="3" t="s">
        <v>24</v>
      </c>
      <c r="D365" s="3" t="s">
        <v>14</v>
      </c>
      <c r="E365" s="3" t="s">
        <v>30</v>
      </c>
      <c r="F365" s="3" t="s">
        <v>21</v>
      </c>
      <c r="G365" s="3">
        <v>1262</v>
      </c>
      <c r="H365" s="3">
        <v>120</v>
      </c>
      <c r="I365" s="3">
        <v>175</v>
      </c>
      <c r="J365" s="3">
        <f t="shared" si="3"/>
        <v>220850</v>
      </c>
      <c r="K365" s="4">
        <v>0.16</v>
      </c>
      <c r="L365" s="3">
        <f t="shared" si="4"/>
        <v>221203.36</v>
      </c>
      <c r="M365" s="3">
        <f t="shared" si="5"/>
        <v>151440</v>
      </c>
    </row>
    <row r="366" spans="1:13" ht="14.25" customHeight="1" x14ac:dyDescent="0.25">
      <c r="A366" s="3">
        <v>195</v>
      </c>
      <c r="B366" s="6">
        <v>44368</v>
      </c>
      <c r="C366" s="3" t="s">
        <v>13</v>
      </c>
      <c r="D366" s="3" t="s">
        <v>25</v>
      </c>
      <c r="E366" s="3" t="s">
        <v>30</v>
      </c>
      <c r="F366" s="3" t="s">
        <v>21</v>
      </c>
      <c r="G366" s="3">
        <v>1579</v>
      </c>
      <c r="H366" s="3">
        <v>120</v>
      </c>
      <c r="I366" s="3">
        <v>140</v>
      </c>
      <c r="J366" s="3">
        <f t="shared" si="3"/>
        <v>221060</v>
      </c>
      <c r="K366" s="4">
        <v>0.11</v>
      </c>
      <c r="L366" s="3">
        <f t="shared" si="4"/>
        <v>221303.166</v>
      </c>
      <c r="M366" s="3">
        <f t="shared" si="5"/>
        <v>189480</v>
      </c>
    </row>
    <row r="367" spans="1:13" ht="14.25" customHeight="1" x14ac:dyDescent="0.25">
      <c r="A367" s="3">
        <v>216</v>
      </c>
      <c r="B367" s="6">
        <v>45451</v>
      </c>
      <c r="C367" s="3" t="s">
        <v>13</v>
      </c>
      <c r="D367" s="3" t="s">
        <v>25</v>
      </c>
      <c r="E367" s="3" t="s">
        <v>30</v>
      </c>
      <c r="F367" s="3" t="s">
        <v>21</v>
      </c>
      <c r="G367" s="3">
        <v>1496</v>
      </c>
      <c r="H367" s="3">
        <v>120</v>
      </c>
      <c r="I367" s="3">
        <v>151</v>
      </c>
      <c r="J367" s="3">
        <f t="shared" si="3"/>
        <v>225896</v>
      </c>
      <c r="K367" s="4">
        <v>0.1</v>
      </c>
      <c r="L367" s="3">
        <f t="shared" si="4"/>
        <v>226121.89600000001</v>
      </c>
      <c r="M367" s="3">
        <f t="shared" si="5"/>
        <v>179520</v>
      </c>
    </row>
    <row r="368" spans="1:13" ht="14.25" customHeight="1" x14ac:dyDescent="0.25">
      <c r="A368" s="3">
        <v>314</v>
      </c>
      <c r="B368" s="6">
        <v>45505</v>
      </c>
      <c r="C368" s="3" t="s">
        <v>13</v>
      </c>
      <c r="D368" s="3" t="s">
        <v>22</v>
      </c>
      <c r="E368" s="3" t="s">
        <v>30</v>
      </c>
      <c r="F368" s="3" t="s">
        <v>21</v>
      </c>
      <c r="G368" s="3">
        <v>1307</v>
      </c>
      <c r="H368" s="3">
        <v>120</v>
      </c>
      <c r="I368" s="3">
        <v>173</v>
      </c>
      <c r="J368" s="3">
        <f t="shared" si="3"/>
        <v>226111</v>
      </c>
      <c r="K368" s="4">
        <v>0.15</v>
      </c>
      <c r="L368" s="3">
        <f t="shared" si="4"/>
        <v>226450.16649999999</v>
      </c>
      <c r="M368" s="3">
        <f t="shared" si="5"/>
        <v>156840</v>
      </c>
    </row>
    <row r="369" spans="1:13" ht="14.25" customHeight="1" x14ac:dyDescent="0.25">
      <c r="A369" s="3">
        <v>253</v>
      </c>
      <c r="B369" s="6">
        <v>45274</v>
      </c>
      <c r="C369" s="3" t="s">
        <v>26</v>
      </c>
      <c r="D369" s="3" t="s">
        <v>17</v>
      </c>
      <c r="E369" s="3" t="s">
        <v>30</v>
      </c>
      <c r="F369" s="3" t="s">
        <v>21</v>
      </c>
      <c r="G369" s="3">
        <v>1372</v>
      </c>
      <c r="H369" s="3">
        <v>120</v>
      </c>
      <c r="I369" s="3">
        <v>169</v>
      </c>
      <c r="J369" s="3">
        <f t="shared" si="3"/>
        <v>231868</v>
      </c>
      <c r="K369" s="4">
        <v>0.13</v>
      </c>
      <c r="L369" s="3">
        <f t="shared" si="4"/>
        <v>232169.4284</v>
      </c>
      <c r="M369" s="3">
        <f t="shared" si="5"/>
        <v>164640</v>
      </c>
    </row>
    <row r="370" spans="1:13" ht="14.25" customHeight="1" x14ac:dyDescent="0.25">
      <c r="A370" s="3">
        <v>487</v>
      </c>
      <c r="B370" s="6">
        <v>44983</v>
      </c>
      <c r="C370" s="3" t="s">
        <v>29</v>
      </c>
      <c r="D370" s="3" t="s">
        <v>20</v>
      </c>
      <c r="E370" s="3" t="s">
        <v>30</v>
      </c>
      <c r="F370" s="3" t="s">
        <v>16</v>
      </c>
      <c r="G370" s="3">
        <v>1575</v>
      </c>
      <c r="H370" s="3">
        <v>120</v>
      </c>
      <c r="I370" s="3">
        <v>149</v>
      </c>
      <c r="J370" s="3">
        <f t="shared" si="3"/>
        <v>234675</v>
      </c>
      <c r="K370" s="4">
        <v>0.23</v>
      </c>
      <c r="L370" s="3">
        <f t="shared" si="4"/>
        <v>235214.7525</v>
      </c>
      <c r="M370" s="3">
        <f t="shared" si="5"/>
        <v>189000</v>
      </c>
    </row>
    <row r="371" spans="1:13" ht="14.25" customHeight="1" x14ac:dyDescent="0.25">
      <c r="A371" s="3">
        <v>215</v>
      </c>
      <c r="B371" s="6">
        <v>44730</v>
      </c>
      <c r="C371" s="3" t="s">
        <v>24</v>
      </c>
      <c r="D371" s="3" t="s">
        <v>22</v>
      </c>
      <c r="E371" s="3" t="s">
        <v>30</v>
      </c>
      <c r="F371" s="3" t="s">
        <v>21</v>
      </c>
      <c r="G371" s="3">
        <v>1530</v>
      </c>
      <c r="H371" s="3">
        <v>120</v>
      </c>
      <c r="I371" s="3">
        <v>156</v>
      </c>
      <c r="J371" s="3">
        <f t="shared" si="3"/>
        <v>238680</v>
      </c>
      <c r="K371" s="4">
        <v>0.11</v>
      </c>
      <c r="L371" s="3">
        <f t="shared" si="4"/>
        <v>238942.54800000001</v>
      </c>
      <c r="M371" s="3">
        <f t="shared" si="5"/>
        <v>183600</v>
      </c>
    </row>
    <row r="372" spans="1:13" ht="14.25" customHeight="1" x14ac:dyDescent="0.25">
      <c r="A372" s="3">
        <v>369</v>
      </c>
      <c r="B372" s="6">
        <v>44454</v>
      </c>
      <c r="C372" s="3" t="s">
        <v>26</v>
      </c>
      <c r="D372" s="3" t="s">
        <v>25</v>
      </c>
      <c r="E372" s="3" t="s">
        <v>32</v>
      </c>
      <c r="F372" s="3" t="s">
        <v>16</v>
      </c>
      <c r="G372" s="3">
        <v>853</v>
      </c>
      <c r="H372" s="3">
        <v>260</v>
      </c>
      <c r="I372" s="3">
        <v>283</v>
      </c>
      <c r="J372" s="3">
        <f t="shared" si="3"/>
        <v>241399</v>
      </c>
      <c r="K372" s="4">
        <v>0.23</v>
      </c>
      <c r="L372" s="3">
        <f t="shared" si="4"/>
        <v>241954.21770000001</v>
      </c>
      <c r="M372" s="3">
        <f t="shared" si="5"/>
        <v>221780</v>
      </c>
    </row>
    <row r="373" spans="1:13" ht="14.25" customHeight="1" x14ac:dyDescent="0.25">
      <c r="A373" s="3">
        <v>26</v>
      </c>
      <c r="B373" s="6">
        <v>44638</v>
      </c>
      <c r="C373" s="3" t="s">
        <v>13</v>
      </c>
      <c r="D373" s="3" t="s">
        <v>20</v>
      </c>
      <c r="E373" s="3" t="s">
        <v>30</v>
      </c>
      <c r="F373" s="3" t="s">
        <v>28</v>
      </c>
      <c r="G373" s="3">
        <v>1493</v>
      </c>
      <c r="H373" s="3">
        <v>120</v>
      </c>
      <c r="I373" s="3">
        <v>164</v>
      </c>
      <c r="J373" s="3">
        <f t="shared" si="3"/>
        <v>244852</v>
      </c>
      <c r="K373" s="4">
        <v>0</v>
      </c>
      <c r="L373" s="3">
        <f t="shared" si="4"/>
        <v>244852</v>
      </c>
      <c r="M373" s="3">
        <f t="shared" si="5"/>
        <v>179160</v>
      </c>
    </row>
    <row r="374" spans="1:13" ht="14.25" customHeight="1" x14ac:dyDescent="0.25">
      <c r="A374" s="3">
        <v>367</v>
      </c>
      <c r="B374" s="6">
        <v>45666</v>
      </c>
      <c r="C374" s="3" t="s">
        <v>13</v>
      </c>
      <c r="D374" s="3" t="s">
        <v>14</v>
      </c>
      <c r="E374" s="3" t="s">
        <v>32</v>
      </c>
      <c r="F374" s="3" t="s">
        <v>16</v>
      </c>
      <c r="G374" s="3">
        <v>707</v>
      </c>
      <c r="H374" s="3">
        <v>260</v>
      </c>
      <c r="I374" s="3">
        <v>346</v>
      </c>
      <c r="J374" s="3">
        <f t="shared" si="3"/>
        <v>244622</v>
      </c>
      <c r="K374" s="4">
        <v>0.22</v>
      </c>
      <c r="L374" s="3">
        <f t="shared" si="4"/>
        <v>245160.1684</v>
      </c>
      <c r="M374" s="3">
        <f t="shared" si="5"/>
        <v>183820</v>
      </c>
    </row>
    <row r="375" spans="1:13" ht="14.25" customHeight="1" x14ac:dyDescent="0.25">
      <c r="A375" s="3">
        <v>516</v>
      </c>
      <c r="B375" s="6">
        <v>45810</v>
      </c>
      <c r="C375" s="3" t="s">
        <v>13</v>
      </c>
      <c r="D375" s="3" t="s">
        <v>14</v>
      </c>
      <c r="E375" s="3" t="s">
        <v>31</v>
      </c>
      <c r="F375" s="3" t="s">
        <v>16</v>
      </c>
      <c r="G375" s="3">
        <v>865.5</v>
      </c>
      <c r="H375" s="3">
        <v>250</v>
      </c>
      <c r="I375" s="3">
        <v>287</v>
      </c>
      <c r="J375" s="3">
        <f t="shared" si="3"/>
        <v>248398.5</v>
      </c>
      <c r="K375" s="4">
        <v>0.25</v>
      </c>
      <c r="L375" s="3">
        <f t="shared" si="4"/>
        <v>249019.49625</v>
      </c>
      <c r="M375" s="3">
        <f t="shared" si="5"/>
        <v>216375</v>
      </c>
    </row>
    <row r="376" spans="1:13" ht="14.25" customHeight="1" x14ac:dyDescent="0.25">
      <c r="A376" s="3">
        <v>235</v>
      </c>
      <c r="B376" s="6">
        <v>44583</v>
      </c>
      <c r="C376" s="3" t="s">
        <v>13</v>
      </c>
      <c r="D376" s="3" t="s">
        <v>14</v>
      </c>
      <c r="E376" s="3" t="s">
        <v>30</v>
      </c>
      <c r="F376" s="3" t="s">
        <v>21</v>
      </c>
      <c r="G376" s="3">
        <v>1582</v>
      </c>
      <c r="H376" s="3">
        <v>120</v>
      </c>
      <c r="I376" s="3">
        <v>158</v>
      </c>
      <c r="J376" s="3">
        <f t="shared" si="3"/>
        <v>249956</v>
      </c>
      <c r="K376" s="4">
        <v>0.11</v>
      </c>
      <c r="L376" s="3">
        <f t="shared" si="4"/>
        <v>250230.9516</v>
      </c>
      <c r="M376" s="3">
        <f t="shared" si="5"/>
        <v>189840</v>
      </c>
    </row>
    <row r="377" spans="1:13" ht="14.25" customHeight="1" x14ac:dyDescent="0.25">
      <c r="A377" s="3">
        <v>156</v>
      </c>
      <c r="B377" s="6">
        <v>45584</v>
      </c>
      <c r="C377" s="3" t="s">
        <v>23</v>
      </c>
      <c r="D377" s="3" t="s">
        <v>17</v>
      </c>
      <c r="E377" s="3" t="s">
        <v>30</v>
      </c>
      <c r="F377" s="3" t="s">
        <v>19</v>
      </c>
      <c r="G377" s="3">
        <v>1465</v>
      </c>
      <c r="H377" s="3">
        <v>120</v>
      </c>
      <c r="I377" s="3">
        <v>171</v>
      </c>
      <c r="J377" s="3">
        <f t="shared" si="3"/>
        <v>250515</v>
      </c>
      <c r="K377" s="4">
        <v>0.06</v>
      </c>
      <c r="L377" s="3">
        <f t="shared" si="4"/>
        <v>250665.30900000001</v>
      </c>
      <c r="M377" s="3">
        <f t="shared" si="5"/>
        <v>175800</v>
      </c>
    </row>
    <row r="378" spans="1:13" ht="14.25" customHeight="1" x14ac:dyDescent="0.25">
      <c r="A378" s="3">
        <v>217</v>
      </c>
      <c r="B378" s="6">
        <v>45601</v>
      </c>
      <c r="C378" s="3" t="s">
        <v>13</v>
      </c>
      <c r="D378" s="3" t="s">
        <v>20</v>
      </c>
      <c r="E378" s="3" t="s">
        <v>30</v>
      </c>
      <c r="F378" s="3" t="s">
        <v>21</v>
      </c>
      <c r="G378" s="3">
        <v>1498</v>
      </c>
      <c r="H378" s="3">
        <v>120</v>
      </c>
      <c r="I378" s="3">
        <v>169</v>
      </c>
      <c r="J378" s="3">
        <f t="shared" si="3"/>
        <v>253162</v>
      </c>
      <c r="K378" s="4">
        <v>0.14000000000000001</v>
      </c>
      <c r="L378" s="3">
        <f t="shared" si="4"/>
        <v>253516.42679999999</v>
      </c>
      <c r="M378" s="3">
        <f t="shared" si="5"/>
        <v>179760</v>
      </c>
    </row>
    <row r="379" spans="1:13" ht="14.25" customHeight="1" x14ac:dyDescent="0.25">
      <c r="A379" s="3">
        <v>35</v>
      </c>
      <c r="B379" s="6">
        <v>44779</v>
      </c>
      <c r="C379" s="3" t="s">
        <v>24</v>
      </c>
      <c r="D379" s="3" t="s">
        <v>22</v>
      </c>
      <c r="E379" s="3" t="s">
        <v>31</v>
      </c>
      <c r="F379" s="3" t="s">
        <v>28</v>
      </c>
      <c r="G379" s="3">
        <v>888</v>
      </c>
      <c r="H379" s="3">
        <v>250</v>
      </c>
      <c r="I379" s="3">
        <v>286</v>
      </c>
      <c r="J379" s="3">
        <f t="shared" si="3"/>
        <v>253968</v>
      </c>
      <c r="K379" s="4">
        <v>0</v>
      </c>
      <c r="L379" s="3">
        <f t="shared" si="4"/>
        <v>253968</v>
      </c>
      <c r="M379" s="3">
        <f t="shared" si="5"/>
        <v>222000</v>
      </c>
    </row>
    <row r="380" spans="1:13" ht="14.25" customHeight="1" x14ac:dyDescent="0.25">
      <c r="A380" s="3">
        <v>30</v>
      </c>
      <c r="B380" s="6">
        <v>45944</v>
      </c>
      <c r="C380" s="3" t="s">
        <v>23</v>
      </c>
      <c r="D380" s="3" t="s">
        <v>22</v>
      </c>
      <c r="E380" s="3" t="s">
        <v>30</v>
      </c>
      <c r="F380" s="3" t="s">
        <v>28</v>
      </c>
      <c r="G380" s="3">
        <v>1545</v>
      </c>
      <c r="H380" s="3">
        <v>120</v>
      </c>
      <c r="I380" s="3">
        <v>165</v>
      </c>
      <c r="J380" s="3">
        <f t="shared" si="3"/>
        <v>254925</v>
      </c>
      <c r="K380" s="4">
        <v>0</v>
      </c>
      <c r="L380" s="3">
        <f t="shared" si="4"/>
        <v>254925</v>
      </c>
      <c r="M380" s="3">
        <f t="shared" si="5"/>
        <v>185400</v>
      </c>
    </row>
    <row r="381" spans="1:13" ht="14.25" customHeight="1" x14ac:dyDescent="0.25">
      <c r="A381" s="3">
        <v>335</v>
      </c>
      <c r="B381" s="6">
        <v>44326</v>
      </c>
      <c r="C381" s="3" t="s">
        <v>23</v>
      </c>
      <c r="D381" s="3" t="s">
        <v>25</v>
      </c>
      <c r="E381" s="3" t="s">
        <v>30</v>
      </c>
      <c r="F381" s="3" t="s">
        <v>21</v>
      </c>
      <c r="G381" s="3">
        <v>1967</v>
      </c>
      <c r="H381" s="3">
        <v>120</v>
      </c>
      <c r="I381" s="3">
        <v>130</v>
      </c>
      <c r="J381" s="3">
        <f t="shared" si="3"/>
        <v>255710</v>
      </c>
      <c r="K381" s="4">
        <v>0.13</v>
      </c>
      <c r="L381" s="3">
        <f t="shared" si="4"/>
        <v>256042.42300000001</v>
      </c>
      <c r="M381" s="3">
        <f t="shared" si="5"/>
        <v>236040</v>
      </c>
    </row>
    <row r="382" spans="1:13" ht="14.25" customHeight="1" x14ac:dyDescent="0.25">
      <c r="A382" s="3">
        <v>321</v>
      </c>
      <c r="B382" s="6">
        <v>44767</v>
      </c>
      <c r="C382" s="3" t="s">
        <v>23</v>
      </c>
      <c r="D382" s="3" t="s">
        <v>22</v>
      </c>
      <c r="E382" s="3" t="s">
        <v>31</v>
      </c>
      <c r="F382" s="3" t="s">
        <v>21</v>
      </c>
      <c r="G382" s="3">
        <v>880</v>
      </c>
      <c r="H382" s="3">
        <v>250</v>
      </c>
      <c r="I382" s="3">
        <v>292</v>
      </c>
      <c r="J382" s="3">
        <f t="shared" si="3"/>
        <v>256960</v>
      </c>
      <c r="K382" s="4">
        <v>0.1</v>
      </c>
      <c r="L382" s="3">
        <f t="shared" si="4"/>
        <v>257216.96</v>
      </c>
      <c r="M382" s="3">
        <f t="shared" si="5"/>
        <v>220000</v>
      </c>
    </row>
    <row r="383" spans="1:13" ht="14.25" customHeight="1" x14ac:dyDescent="0.25">
      <c r="A383" s="3">
        <v>352</v>
      </c>
      <c r="B383" s="6">
        <v>44908</v>
      </c>
      <c r="C383" s="3" t="s">
        <v>29</v>
      </c>
      <c r="D383" s="3" t="s">
        <v>17</v>
      </c>
      <c r="E383" s="3" t="s">
        <v>30</v>
      </c>
      <c r="F383" s="3" t="s">
        <v>16</v>
      </c>
      <c r="G383" s="3">
        <v>1596</v>
      </c>
      <c r="H383" s="3">
        <v>120</v>
      </c>
      <c r="I383" s="3">
        <v>161</v>
      </c>
      <c r="J383" s="3">
        <f t="shared" si="3"/>
        <v>256956</v>
      </c>
      <c r="K383" s="4">
        <v>0.23</v>
      </c>
      <c r="L383" s="3">
        <f t="shared" si="4"/>
        <v>257546.9988</v>
      </c>
      <c r="M383" s="3">
        <f t="shared" si="5"/>
        <v>191520</v>
      </c>
    </row>
    <row r="384" spans="1:13" ht="14.25" customHeight="1" x14ac:dyDescent="0.25">
      <c r="A384" s="3">
        <v>97</v>
      </c>
      <c r="B384" s="6">
        <v>45221</v>
      </c>
      <c r="C384" s="3" t="s">
        <v>13</v>
      </c>
      <c r="D384" s="3" t="s">
        <v>17</v>
      </c>
      <c r="E384" s="3" t="s">
        <v>30</v>
      </c>
      <c r="F384" s="3" t="s">
        <v>19</v>
      </c>
      <c r="G384" s="3">
        <v>1566</v>
      </c>
      <c r="H384" s="3">
        <v>120</v>
      </c>
      <c r="I384" s="3">
        <v>169</v>
      </c>
      <c r="J384" s="3">
        <f t="shared" si="3"/>
        <v>264654</v>
      </c>
      <c r="K384" s="4">
        <v>0.09</v>
      </c>
      <c r="L384" s="3">
        <f t="shared" si="4"/>
        <v>264892.18859999999</v>
      </c>
      <c r="M384" s="3">
        <f t="shared" si="5"/>
        <v>187920</v>
      </c>
    </row>
    <row r="385" spans="1:13" ht="14.25" customHeight="1" x14ac:dyDescent="0.25">
      <c r="A385" s="3">
        <v>324</v>
      </c>
      <c r="B385" s="6">
        <v>44849</v>
      </c>
      <c r="C385" s="3" t="s">
        <v>29</v>
      </c>
      <c r="D385" s="3" t="s">
        <v>20</v>
      </c>
      <c r="E385" s="3" t="s">
        <v>31</v>
      </c>
      <c r="F385" s="3" t="s">
        <v>21</v>
      </c>
      <c r="G385" s="3">
        <v>877</v>
      </c>
      <c r="H385" s="3">
        <v>250</v>
      </c>
      <c r="I385" s="3">
        <v>303</v>
      </c>
      <c r="J385" s="3">
        <f t="shared" si="3"/>
        <v>265731</v>
      </c>
      <c r="K385" s="4">
        <v>0.12</v>
      </c>
      <c r="L385" s="3">
        <f t="shared" si="4"/>
        <v>266049.87719999999</v>
      </c>
      <c r="M385" s="3">
        <f t="shared" si="5"/>
        <v>219250</v>
      </c>
    </row>
    <row r="386" spans="1:13" ht="14.25" customHeight="1" x14ac:dyDescent="0.25">
      <c r="A386" s="3">
        <v>77</v>
      </c>
      <c r="B386" s="6">
        <v>45450</v>
      </c>
      <c r="C386" s="3" t="s">
        <v>26</v>
      </c>
      <c r="D386" s="3" t="s">
        <v>22</v>
      </c>
      <c r="E386" s="3" t="s">
        <v>31</v>
      </c>
      <c r="F386" s="3" t="s">
        <v>19</v>
      </c>
      <c r="G386" s="3">
        <v>986</v>
      </c>
      <c r="H386" s="3">
        <v>250</v>
      </c>
      <c r="I386" s="3">
        <v>281</v>
      </c>
      <c r="J386" s="3">
        <f t="shared" si="3"/>
        <v>277066</v>
      </c>
      <c r="K386" s="4">
        <v>0.09</v>
      </c>
      <c r="L386" s="3">
        <f t="shared" si="4"/>
        <v>277315.35940000002</v>
      </c>
      <c r="M386" s="3">
        <f t="shared" si="5"/>
        <v>246500</v>
      </c>
    </row>
    <row r="387" spans="1:13" ht="14.25" customHeight="1" x14ac:dyDescent="0.25">
      <c r="A387" s="3">
        <v>158</v>
      </c>
      <c r="B387" s="6">
        <v>45237</v>
      </c>
      <c r="C387" s="3" t="s">
        <v>23</v>
      </c>
      <c r="D387" s="3" t="s">
        <v>25</v>
      </c>
      <c r="E387" s="3" t="s">
        <v>31</v>
      </c>
      <c r="F387" s="3" t="s">
        <v>19</v>
      </c>
      <c r="G387" s="3">
        <v>866</v>
      </c>
      <c r="H387" s="3">
        <v>250</v>
      </c>
      <c r="I387" s="3">
        <v>322</v>
      </c>
      <c r="J387" s="3">
        <f t="shared" si="3"/>
        <v>278852</v>
      </c>
      <c r="K387" s="4">
        <v>0.01</v>
      </c>
      <c r="L387" s="3">
        <f t="shared" si="4"/>
        <v>278879.88520000002</v>
      </c>
      <c r="M387" s="3">
        <f t="shared" si="5"/>
        <v>216500</v>
      </c>
    </row>
    <row r="388" spans="1:13" ht="14.25" customHeight="1" x14ac:dyDescent="0.25">
      <c r="A388" s="3">
        <v>494</v>
      </c>
      <c r="B388" s="6">
        <v>45935</v>
      </c>
      <c r="C388" s="3" t="s">
        <v>26</v>
      </c>
      <c r="D388" s="3" t="s">
        <v>14</v>
      </c>
      <c r="E388" s="3" t="s">
        <v>32</v>
      </c>
      <c r="F388" s="3" t="s">
        <v>16</v>
      </c>
      <c r="G388" s="3">
        <v>888</v>
      </c>
      <c r="H388" s="3">
        <v>260</v>
      </c>
      <c r="I388" s="3">
        <v>317</v>
      </c>
      <c r="J388" s="3">
        <f t="shared" si="3"/>
        <v>281496</v>
      </c>
      <c r="K388" s="4">
        <v>0.21</v>
      </c>
      <c r="L388" s="3">
        <f t="shared" si="4"/>
        <v>282087.14159999997</v>
      </c>
      <c r="M388" s="3">
        <f t="shared" si="5"/>
        <v>230880</v>
      </c>
    </row>
    <row r="389" spans="1:13" ht="14.25" customHeight="1" x14ac:dyDescent="0.25">
      <c r="A389" s="3">
        <v>391</v>
      </c>
      <c r="B389" s="6">
        <v>45702</v>
      </c>
      <c r="C389" s="3" t="s">
        <v>13</v>
      </c>
      <c r="D389" s="3" t="s">
        <v>14</v>
      </c>
      <c r="E389" s="3" t="s">
        <v>30</v>
      </c>
      <c r="F389" s="3" t="s">
        <v>16</v>
      </c>
      <c r="G389" s="3">
        <v>1808</v>
      </c>
      <c r="H389" s="3">
        <v>120</v>
      </c>
      <c r="I389" s="3">
        <v>158</v>
      </c>
      <c r="J389" s="3">
        <f t="shared" si="3"/>
        <v>285664</v>
      </c>
      <c r="K389" s="4">
        <v>0.2</v>
      </c>
      <c r="L389" s="3">
        <f t="shared" si="4"/>
        <v>286235.32799999998</v>
      </c>
      <c r="M389" s="3">
        <f t="shared" si="5"/>
        <v>216960</v>
      </c>
    </row>
    <row r="390" spans="1:13" ht="14.25" customHeight="1" x14ac:dyDescent="0.25">
      <c r="A390" s="3">
        <v>252</v>
      </c>
      <c r="B390" s="6">
        <v>44391</v>
      </c>
      <c r="C390" s="3" t="s">
        <v>13</v>
      </c>
      <c r="D390" s="3" t="s">
        <v>25</v>
      </c>
      <c r="E390" s="3" t="s">
        <v>30</v>
      </c>
      <c r="F390" s="3" t="s">
        <v>21</v>
      </c>
      <c r="G390" s="3">
        <v>1976</v>
      </c>
      <c r="H390" s="3">
        <v>120</v>
      </c>
      <c r="I390" s="3">
        <v>146</v>
      </c>
      <c r="J390" s="3">
        <f t="shared" si="3"/>
        <v>288496</v>
      </c>
      <c r="K390" s="4">
        <v>0.17</v>
      </c>
      <c r="L390" s="3">
        <f t="shared" si="4"/>
        <v>288986.44319999998</v>
      </c>
      <c r="M390" s="3">
        <f t="shared" si="5"/>
        <v>237120</v>
      </c>
    </row>
    <row r="391" spans="1:13" ht="14.25" customHeight="1" x14ac:dyDescent="0.25">
      <c r="A391" s="3">
        <v>419</v>
      </c>
      <c r="B391" s="6">
        <v>44618</v>
      </c>
      <c r="C391" s="3" t="s">
        <v>13</v>
      </c>
      <c r="D391" s="3" t="s">
        <v>17</v>
      </c>
      <c r="E391" s="3" t="s">
        <v>31</v>
      </c>
      <c r="F391" s="3" t="s">
        <v>16</v>
      </c>
      <c r="G391" s="3">
        <v>986</v>
      </c>
      <c r="H391" s="3">
        <v>250</v>
      </c>
      <c r="I391" s="3">
        <v>297</v>
      </c>
      <c r="J391" s="3">
        <f t="shared" si="3"/>
        <v>292842</v>
      </c>
      <c r="K391" s="4">
        <v>0.22</v>
      </c>
      <c r="L391" s="3">
        <f t="shared" si="4"/>
        <v>293486.2524</v>
      </c>
      <c r="M391" s="3">
        <f t="shared" si="5"/>
        <v>246500</v>
      </c>
    </row>
    <row r="392" spans="1:13" ht="14.25" customHeight="1" x14ac:dyDescent="0.25">
      <c r="A392" s="3">
        <v>28</v>
      </c>
      <c r="B392" s="6">
        <v>46008</v>
      </c>
      <c r="C392" s="3" t="s">
        <v>23</v>
      </c>
      <c r="D392" s="3" t="s">
        <v>22</v>
      </c>
      <c r="E392" s="3" t="s">
        <v>30</v>
      </c>
      <c r="F392" s="3" t="s">
        <v>28</v>
      </c>
      <c r="G392" s="3">
        <v>2161</v>
      </c>
      <c r="H392" s="3">
        <v>120</v>
      </c>
      <c r="I392" s="3">
        <v>136</v>
      </c>
      <c r="J392" s="3">
        <f t="shared" si="3"/>
        <v>293896</v>
      </c>
      <c r="K392" s="4">
        <v>0</v>
      </c>
      <c r="L392" s="3">
        <f t="shared" si="4"/>
        <v>293896</v>
      </c>
      <c r="M392" s="3">
        <f t="shared" si="5"/>
        <v>259320</v>
      </c>
    </row>
    <row r="393" spans="1:13" ht="14.25" customHeight="1" x14ac:dyDescent="0.25">
      <c r="A393" s="3">
        <v>108</v>
      </c>
      <c r="B393" s="6">
        <v>45322</v>
      </c>
      <c r="C393" s="3" t="s">
        <v>13</v>
      </c>
      <c r="D393" s="3" t="s">
        <v>25</v>
      </c>
      <c r="E393" s="3" t="s">
        <v>32</v>
      </c>
      <c r="F393" s="3" t="s">
        <v>19</v>
      </c>
      <c r="G393" s="3">
        <v>941</v>
      </c>
      <c r="H393" s="3">
        <v>260</v>
      </c>
      <c r="I393" s="3">
        <v>317</v>
      </c>
      <c r="J393" s="3">
        <f t="shared" si="3"/>
        <v>298297</v>
      </c>
      <c r="K393" s="4">
        <v>0.05</v>
      </c>
      <c r="L393" s="3">
        <f t="shared" si="4"/>
        <v>298446.14850000001</v>
      </c>
      <c r="M393" s="3">
        <f t="shared" si="5"/>
        <v>244660</v>
      </c>
    </row>
    <row r="394" spans="1:13" ht="14.25" customHeight="1" x14ac:dyDescent="0.25">
      <c r="A394" s="3">
        <v>27</v>
      </c>
      <c r="B394" s="6">
        <v>45156</v>
      </c>
      <c r="C394" s="3" t="s">
        <v>29</v>
      </c>
      <c r="D394" s="3" t="s">
        <v>25</v>
      </c>
      <c r="E394" s="3" t="s">
        <v>30</v>
      </c>
      <c r="F394" s="3" t="s">
        <v>28</v>
      </c>
      <c r="G394" s="3">
        <v>1804</v>
      </c>
      <c r="H394" s="3">
        <v>120</v>
      </c>
      <c r="I394" s="3">
        <v>169</v>
      </c>
      <c r="J394" s="3">
        <f t="shared" si="3"/>
        <v>304876</v>
      </c>
      <c r="K394" s="4">
        <v>0</v>
      </c>
      <c r="L394" s="3">
        <f t="shared" si="4"/>
        <v>304876</v>
      </c>
      <c r="M394" s="3">
        <f t="shared" si="5"/>
        <v>216480</v>
      </c>
    </row>
    <row r="395" spans="1:13" ht="14.25" customHeight="1" x14ac:dyDescent="0.25">
      <c r="A395" s="3">
        <v>255</v>
      </c>
      <c r="B395" s="6">
        <v>45392</v>
      </c>
      <c r="C395" s="3" t="s">
        <v>26</v>
      </c>
      <c r="D395" s="3" t="s">
        <v>25</v>
      </c>
      <c r="E395" s="3" t="s">
        <v>31</v>
      </c>
      <c r="F395" s="3" t="s">
        <v>21</v>
      </c>
      <c r="G395" s="3">
        <v>959</v>
      </c>
      <c r="H395" s="3">
        <v>250</v>
      </c>
      <c r="I395" s="3">
        <v>319</v>
      </c>
      <c r="J395" s="3">
        <f t="shared" si="3"/>
        <v>305921</v>
      </c>
      <c r="K395" s="4">
        <v>0.18</v>
      </c>
      <c r="L395" s="3">
        <f t="shared" si="4"/>
        <v>306471.65779999999</v>
      </c>
      <c r="M395" s="3">
        <f t="shared" si="5"/>
        <v>239750</v>
      </c>
    </row>
    <row r="396" spans="1:13" ht="14.25" customHeight="1" x14ac:dyDescent="0.25">
      <c r="A396" s="3">
        <v>339</v>
      </c>
      <c r="B396" s="6">
        <v>45603</v>
      </c>
      <c r="C396" s="3" t="s">
        <v>13</v>
      </c>
      <c r="D396" s="3" t="s">
        <v>20</v>
      </c>
      <c r="E396" s="3" t="s">
        <v>32</v>
      </c>
      <c r="F396" s="3" t="s">
        <v>21</v>
      </c>
      <c r="G396" s="3">
        <v>1038</v>
      </c>
      <c r="H396" s="3">
        <v>260</v>
      </c>
      <c r="I396" s="3">
        <v>297</v>
      </c>
      <c r="J396" s="3">
        <f t="shared" si="3"/>
        <v>308286</v>
      </c>
      <c r="K396" s="4">
        <v>0.1</v>
      </c>
      <c r="L396" s="3">
        <f t="shared" si="4"/>
        <v>308594.28600000002</v>
      </c>
      <c r="M396" s="3">
        <f t="shared" si="5"/>
        <v>269880</v>
      </c>
    </row>
    <row r="397" spans="1:13" ht="14.25" customHeight="1" x14ac:dyDescent="0.25">
      <c r="A397" s="3">
        <v>74</v>
      </c>
      <c r="B397" s="6">
        <v>45709</v>
      </c>
      <c r="C397" s="3" t="s">
        <v>13</v>
      </c>
      <c r="D397" s="3" t="s">
        <v>14</v>
      </c>
      <c r="E397" s="3" t="s">
        <v>31</v>
      </c>
      <c r="F397" s="3" t="s">
        <v>19</v>
      </c>
      <c r="G397" s="3">
        <v>943.5</v>
      </c>
      <c r="H397" s="3">
        <v>250</v>
      </c>
      <c r="I397" s="3">
        <v>329</v>
      </c>
      <c r="J397" s="3">
        <f t="shared" si="3"/>
        <v>310411.5</v>
      </c>
      <c r="K397" s="4">
        <v>7.0000000000000007E-2</v>
      </c>
      <c r="L397" s="3">
        <f t="shared" si="4"/>
        <v>310628.78804999997</v>
      </c>
      <c r="M397" s="3">
        <f t="shared" si="5"/>
        <v>235875</v>
      </c>
    </row>
    <row r="398" spans="1:13" ht="14.25" customHeight="1" x14ac:dyDescent="0.25">
      <c r="A398" s="3">
        <v>518</v>
      </c>
      <c r="B398" s="6">
        <v>44409</v>
      </c>
      <c r="C398" s="3" t="s">
        <v>24</v>
      </c>
      <c r="D398" s="3" t="s">
        <v>22</v>
      </c>
      <c r="E398" s="3" t="s">
        <v>31</v>
      </c>
      <c r="F398" s="3" t="s">
        <v>16</v>
      </c>
      <c r="G398" s="3">
        <v>1175</v>
      </c>
      <c r="H398" s="3">
        <v>250</v>
      </c>
      <c r="I398" s="3">
        <v>264</v>
      </c>
      <c r="J398" s="3">
        <f t="shared" si="3"/>
        <v>310200</v>
      </c>
      <c r="K398" s="4">
        <v>0.2</v>
      </c>
      <c r="L398" s="3">
        <f t="shared" si="4"/>
        <v>310820.40000000002</v>
      </c>
      <c r="M398" s="3">
        <f t="shared" si="5"/>
        <v>293750</v>
      </c>
    </row>
    <row r="399" spans="1:13" ht="14.25" customHeight="1" x14ac:dyDescent="0.25">
      <c r="A399" s="3">
        <v>238</v>
      </c>
      <c r="B399" s="6">
        <v>44601</v>
      </c>
      <c r="C399" s="3" t="s">
        <v>13</v>
      </c>
      <c r="D399" s="3" t="s">
        <v>14</v>
      </c>
      <c r="E399" s="3" t="s">
        <v>32</v>
      </c>
      <c r="F399" s="3" t="s">
        <v>21</v>
      </c>
      <c r="G399" s="3">
        <v>1135</v>
      </c>
      <c r="H399" s="3">
        <v>260</v>
      </c>
      <c r="I399" s="3">
        <v>286</v>
      </c>
      <c r="J399" s="3">
        <f t="shared" si="3"/>
        <v>324610</v>
      </c>
      <c r="K399" s="4">
        <v>0.16</v>
      </c>
      <c r="L399" s="3">
        <f t="shared" si="4"/>
        <v>325129.37599999999</v>
      </c>
      <c r="M399" s="3">
        <f t="shared" si="5"/>
        <v>295100</v>
      </c>
    </row>
    <row r="400" spans="1:13" ht="14.25" customHeight="1" x14ac:dyDescent="0.25">
      <c r="A400" s="3">
        <v>128</v>
      </c>
      <c r="B400" s="6">
        <v>44520</v>
      </c>
      <c r="C400" s="3" t="s">
        <v>29</v>
      </c>
      <c r="D400" s="3" t="s">
        <v>14</v>
      </c>
      <c r="E400" s="3" t="s">
        <v>30</v>
      </c>
      <c r="F400" s="3" t="s">
        <v>19</v>
      </c>
      <c r="G400" s="3">
        <v>2009</v>
      </c>
      <c r="H400" s="3">
        <v>120</v>
      </c>
      <c r="I400" s="3">
        <v>162</v>
      </c>
      <c r="J400" s="3">
        <f t="shared" si="3"/>
        <v>325458</v>
      </c>
      <c r="K400" s="4">
        <v>0.04</v>
      </c>
      <c r="L400" s="3">
        <f t="shared" si="4"/>
        <v>325588.18320000003</v>
      </c>
      <c r="M400" s="3">
        <f t="shared" si="5"/>
        <v>241080</v>
      </c>
    </row>
    <row r="401" spans="1:13" ht="14.25" customHeight="1" x14ac:dyDescent="0.25">
      <c r="A401" s="3">
        <v>227</v>
      </c>
      <c r="B401" s="6">
        <v>44635</v>
      </c>
      <c r="C401" s="3" t="s">
        <v>24</v>
      </c>
      <c r="D401" s="3" t="s">
        <v>17</v>
      </c>
      <c r="E401" s="3" t="s">
        <v>31</v>
      </c>
      <c r="F401" s="3" t="s">
        <v>21</v>
      </c>
      <c r="G401" s="3">
        <v>1153</v>
      </c>
      <c r="H401" s="3">
        <v>250</v>
      </c>
      <c r="I401" s="3">
        <v>283</v>
      </c>
      <c r="J401" s="3">
        <f t="shared" si="3"/>
        <v>326299</v>
      </c>
      <c r="K401" s="4">
        <v>0.16</v>
      </c>
      <c r="L401" s="3">
        <f t="shared" si="4"/>
        <v>326821.0784</v>
      </c>
      <c r="M401" s="3">
        <f t="shared" si="5"/>
        <v>288250</v>
      </c>
    </row>
    <row r="402" spans="1:13" ht="14.25" customHeight="1" x14ac:dyDescent="0.25">
      <c r="A402" s="3">
        <v>493</v>
      </c>
      <c r="B402" s="6">
        <v>44949</v>
      </c>
      <c r="C402" s="3" t="s">
        <v>26</v>
      </c>
      <c r="D402" s="3" t="s">
        <v>17</v>
      </c>
      <c r="E402" s="3" t="s">
        <v>31</v>
      </c>
      <c r="F402" s="3" t="s">
        <v>16</v>
      </c>
      <c r="G402" s="3">
        <v>1010</v>
      </c>
      <c r="H402" s="3">
        <v>250</v>
      </c>
      <c r="I402" s="3">
        <v>332</v>
      </c>
      <c r="J402" s="3">
        <f t="shared" si="3"/>
        <v>335320</v>
      </c>
      <c r="K402" s="4">
        <v>0.22</v>
      </c>
      <c r="L402" s="3">
        <f t="shared" si="4"/>
        <v>336057.70400000003</v>
      </c>
      <c r="M402" s="3">
        <f t="shared" si="5"/>
        <v>252500</v>
      </c>
    </row>
    <row r="403" spans="1:13" ht="14.25" customHeight="1" x14ac:dyDescent="0.25">
      <c r="A403" s="3">
        <v>44</v>
      </c>
      <c r="B403" s="6">
        <v>45704</v>
      </c>
      <c r="C403" s="3" t="s">
        <v>13</v>
      </c>
      <c r="D403" s="3" t="s">
        <v>17</v>
      </c>
      <c r="E403" s="3" t="s">
        <v>32</v>
      </c>
      <c r="F403" s="3" t="s">
        <v>28</v>
      </c>
      <c r="G403" s="3">
        <v>1143</v>
      </c>
      <c r="H403" s="3">
        <v>260</v>
      </c>
      <c r="I403" s="3">
        <v>297</v>
      </c>
      <c r="J403" s="3">
        <f t="shared" si="3"/>
        <v>339471</v>
      </c>
      <c r="K403" s="4">
        <v>0</v>
      </c>
      <c r="L403" s="3">
        <f t="shared" si="4"/>
        <v>339471</v>
      </c>
      <c r="M403" s="3">
        <f t="shared" si="5"/>
        <v>297180</v>
      </c>
    </row>
    <row r="404" spans="1:13" ht="14.25" customHeight="1" x14ac:dyDescent="0.25">
      <c r="A404" s="3">
        <v>460</v>
      </c>
      <c r="B404" s="6">
        <v>45232</v>
      </c>
      <c r="C404" s="3" t="s">
        <v>13</v>
      </c>
      <c r="D404" s="3" t="s">
        <v>25</v>
      </c>
      <c r="E404" s="3" t="s">
        <v>32</v>
      </c>
      <c r="F404" s="3" t="s">
        <v>16</v>
      </c>
      <c r="G404" s="3">
        <v>1190</v>
      </c>
      <c r="H404" s="3">
        <v>260</v>
      </c>
      <c r="I404" s="3">
        <v>285</v>
      </c>
      <c r="J404" s="3">
        <f t="shared" si="3"/>
        <v>339150</v>
      </c>
      <c r="K404" s="4">
        <v>0.21</v>
      </c>
      <c r="L404" s="3">
        <f t="shared" si="4"/>
        <v>339862.21500000003</v>
      </c>
      <c r="M404" s="3">
        <f t="shared" si="5"/>
        <v>309400</v>
      </c>
    </row>
    <row r="405" spans="1:13" ht="14.25" customHeight="1" x14ac:dyDescent="0.25">
      <c r="A405" s="3">
        <v>336</v>
      </c>
      <c r="B405" s="6">
        <v>44512</v>
      </c>
      <c r="C405" s="3" t="s">
        <v>24</v>
      </c>
      <c r="D405" s="3" t="s">
        <v>20</v>
      </c>
      <c r="E405" s="3" t="s">
        <v>30</v>
      </c>
      <c r="F405" s="3" t="s">
        <v>21</v>
      </c>
      <c r="G405" s="3">
        <v>2628</v>
      </c>
      <c r="H405" s="3">
        <v>120</v>
      </c>
      <c r="I405" s="3">
        <v>130</v>
      </c>
      <c r="J405" s="3">
        <f t="shared" si="3"/>
        <v>341640</v>
      </c>
      <c r="K405" s="4">
        <v>0.16</v>
      </c>
      <c r="L405" s="3">
        <f t="shared" si="4"/>
        <v>342186.62400000001</v>
      </c>
      <c r="M405" s="3">
        <f t="shared" si="5"/>
        <v>315360</v>
      </c>
    </row>
    <row r="406" spans="1:13" ht="14.25" customHeight="1" x14ac:dyDescent="0.25">
      <c r="A406" s="3">
        <v>316</v>
      </c>
      <c r="B406" s="6">
        <v>45889</v>
      </c>
      <c r="C406" s="3" t="s">
        <v>29</v>
      </c>
      <c r="D406" s="3" t="s">
        <v>20</v>
      </c>
      <c r="E406" s="3" t="s">
        <v>30</v>
      </c>
      <c r="F406" s="3" t="s">
        <v>21</v>
      </c>
      <c r="G406" s="3">
        <v>2110</v>
      </c>
      <c r="H406" s="3">
        <v>120</v>
      </c>
      <c r="I406" s="3">
        <v>163</v>
      </c>
      <c r="J406" s="3">
        <f t="shared" si="3"/>
        <v>343930</v>
      </c>
      <c r="K406" s="4">
        <v>0.15</v>
      </c>
      <c r="L406" s="3">
        <f t="shared" si="4"/>
        <v>344445.89500000002</v>
      </c>
      <c r="M406" s="3">
        <f t="shared" si="5"/>
        <v>253200</v>
      </c>
    </row>
    <row r="407" spans="1:13" ht="14.25" customHeight="1" x14ac:dyDescent="0.25">
      <c r="A407" s="3">
        <v>169</v>
      </c>
      <c r="B407" s="6">
        <v>44579</v>
      </c>
      <c r="C407" s="3" t="s">
        <v>23</v>
      </c>
      <c r="D407" s="3" t="s">
        <v>20</v>
      </c>
      <c r="E407" s="3" t="s">
        <v>32</v>
      </c>
      <c r="F407" s="3" t="s">
        <v>21</v>
      </c>
      <c r="G407" s="3">
        <v>1123</v>
      </c>
      <c r="H407" s="3">
        <v>260</v>
      </c>
      <c r="I407" s="3">
        <v>308</v>
      </c>
      <c r="J407" s="3">
        <f t="shared" si="3"/>
        <v>345884</v>
      </c>
      <c r="K407" s="4">
        <v>0.14000000000000001</v>
      </c>
      <c r="L407" s="3">
        <f t="shared" si="4"/>
        <v>346368.23759999999</v>
      </c>
      <c r="M407" s="3">
        <f t="shared" si="5"/>
        <v>291980</v>
      </c>
    </row>
    <row r="408" spans="1:13" ht="14.25" customHeight="1" x14ac:dyDescent="0.25">
      <c r="A408" s="3">
        <v>157</v>
      </c>
      <c r="B408" s="6">
        <v>45395</v>
      </c>
      <c r="C408" s="3" t="s">
        <v>13</v>
      </c>
      <c r="D408" s="3" t="s">
        <v>25</v>
      </c>
      <c r="E408" s="3" t="s">
        <v>30</v>
      </c>
      <c r="F408" s="3" t="s">
        <v>19</v>
      </c>
      <c r="G408" s="3">
        <v>2177</v>
      </c>
      <c r="H408" s="3">
        <v>120</v>
      </c>
      <c r="I408" s="3">
        <v>160</v>
      </c>
      <c r="J408" s="3">
        <f t="shared" si="3"/>
        <v>348320</v>
      </c>
      <c r="K408" s="4">
        <v>0.04</v>
      </c>
      <c r="L408" s="3">
        <f t="shared" si="4"/>
        <v>348459.32799999998</v>
      </c>
      <c r="M408" s="3">
        <f t="shared" si="5"/>
        <v>261240</v>
      </c>
    </row>
    <row r="409" spans="1:13" ht="14.25" customHeight="1" x14ac:dyDescent="0.25">
      <c r="A409" s="3">
        <v>452</v>
      </c>
      <c r="B409" s="6">
        <v>44226</v>
      </c>
      <c r="C409" s="3" t="s">
        <v>13</v>
      </c>
      <c r="D409" s="3" t="s">
        <v>14</v>
      </c>
      <c r="E409" s="3" t="s">
        <v>30</v>
      </c>
      <c r="F409" s="3" t="s">
        <v>16</v>
      </c>
      <c r="G409" s="3">
        <v>2632</v>
      </c>
      <c r="H409" s="3">
        <v>120</v>
      </c>
      <c r="I409" s="3">
        <v>135</v>
      </c>
      <c r="J409" s="3">
        <f t="shared" si="3"/>
        <v>355320</v>
      </c>
      <c r="K409" s="4">
        <v>0.22</v>
      </c>
      <c r="L409" s="3">
        <f t="shared" si="4"/>
        <v>356101.70400000003</v>
      </c>
      <c r="M409" s="3">
        <f t="shared" si="5"/>
        <v>315840</v>
      </c>
    </row>
    <row r="410" spans="1:13" ht="14.25" customHeight="1" x14ac:dyDescent="0.25">
      <c r="A410" s="3">
        <v>320</v>
      </c>
      <c r="B410" s="6">
        <v>44996</v>
      </c>
      <c r="C410" s="3" t="s">
        <v>13</v>
      </c>
      <c r="D410" s="3" t="s">
        <v>17</v>
      </c>
      <c r="E410" s="3" t="s">
        <v>31</v>
      </c>
      <c r="F410" s="3" t="s">
        <v>21</v>
      </c>
      <c r="G410" s="3">
        <v>1351.5</v>
      </c>
      <c r="H410" s="3">
        <v>250</v>
      </c>
      <c r="I410" s="3">
        <v>270</v>
      </c>
      <c r="J410" s="3">
        <f t="shared" si="3"/>
        <v>364905</v>
      </c>
      <c r="K410" s="4">
        <v>0.13</v>
      </c>
      <c r="L410" s="3">
        <f t="shared" si="4"/>
        <v>365379.37650000001</v>
      </c>
      <c r="M410" s="3">
        <f t="shared" si="5"/>
        <v>337875</v>
      </c>
    </row>
    <row r="411" spans="1:13" ht="14.25" customHeight="1" x14ac:dyDescent="0.25">
      <c r="A411" s="3">
        <v>326</v>
      </c>
      <c r="B411" s="6">
        <v>44516</v>
      </c>
      <c r="C411" s="3" t="s">
        <v>13</v>
      </c>
      <c r="D411" s="3" t="s">
        <v>14</v>
      </c>
      <c r="E411" s="3" t="s">
        <v>32</v>
      </c>
      <c r="F411" s="3" t="s">
        <v>21</v>
      </c>
      <c r="G411" s="3">
        <v>1269</v>
      </c>
      <c r="H411" s="3">
        <v>260</v>
      </c>
      <c r="I411" s="3">
        <v>288</v>
      </c>
      <c r="J411" s="3">
        <f t="shared" si="3"/>
        <v>365472</v>
      </c>
      <c r="K411" s="4">
        <v>0.13</v>
      </c>
      <c r="L411" s="3">
        <f t="shared" si="4"/>
        <v>365947.11359999998</v>
      </c>
      <c r="M411" s="3">
        <f t="shared" si="5"/>
        <v>329940</v>
      </c>
    </row>
    <row r="412" spans="1:13" ht="14.25" customHeight="1" x14ac:dyDescent="0.25">
      <c r="A412" s="3">
        <v>259</v>
      </c>
      <c r="B412" s="6">
        <v>44836</v>
      </c>
      <c r="C412" s="3" t="s">
        <v>13</v>
      </c>
      <c r="D412" s="3" t="s">
        <v>14</v>
      </c>
      <c r="E412" s="3" t="s">
        <v>32</v>
      </c>
      <c r="F412" s="3" t="s">
        <v>21</v>
      </c>
      <c r="G412" s="3">
        <v>1118</v>
      </c>
      <c r="H412" s="3">
        <v>260</v>
      </c>
      <c r="I412" s="3">
        <v>328</v>
      </c>
      <c r="J412" s="3">
        <f t="shared" si="3"/>
        <v>366704</v>
      </c>
      <c r="K412" s="4">
        <v>0.11</v>
      </c>
      <c r="L412" s="3">
        <f t="shared" si="4"/>
        <v>367107.37439999997</v>
      </c>
      <c r="M412" s="3">
        <f t="shared" si="5"/>
        <v>290680</v>
      </c>
    </row>
    <row r="413" spans="1:13" ht="14.25" customHeight="1" x14ac:dyDescent="0.25">
      <c r="A413" s="3">
        <v>107</v>
      </c>
      <c r="B413" s="6">
        <v>44714</v>
      </c>
      <c r="C413" s="3" t="s">
        <v>13</v>
      </c>
      <c r="D413" s="3" t="s">
        <v>17</v>
      </c>
      <c r="E413" s="3" t="s">
        <v>32</v>
      </c>
      <c r="F413" s="3" t="s">
        <v>19</v>
      </c>
      <c r="G413" s="3">
        <v>1236</v>
      </c>
      <c r="H413" s="3">
        <v>260</v>
      </c>
      <c r="I413" s="3">
        <v>297</v>
      </c>
      <c r="J413" s="3">
        <f t="shared" si="3"/>
        <v>367092</v>
      </c>
      <c r="K413" s="4">
        <v>0.08</v>
      </c>
      <c r="L413" s="3">
        <f t="shared" si="4"/>
        <v>367385.67359999998</v>
      </c>
      <c r="M413" s="3">
        <f t="shared" si="5"/>
        <v>321360</v>
      </c>
    </row>
    <row r="414" spans="1:13" ht="14.25" customHeight="1" x14ac:dyDescent="0.25">
      <c r="A414" s="3">
        <v>251</v>
      </c>
      <c r="B414" s="6">
        <v>45911</v>
      </c>
      <c r="C414" s="3" t="s">
        <v>29</v>
      </c>
      <c r="D414" s="3" t="s">
        <v>22</v>
      </c>
      <c r="E414" s="3" t="s">
        <v>30</v>
      </c>
      <c r="F414" s="3" t="s">
        <v>21</v>
      </c>
      <c r="G414" s="3">
        <v>2087</v>
      </c>
      <c r="H414" s="3">
        <v>120</v>
      </c>
      <c r="I414" s="3">
        <v>176</v>
      </c>
      <c r="J414" s="3">
        <f t="shared" si="3"/>
        <v>367312</v>
      </c>
      <c r="K414" s="4">
        <v>0.19</v>
      </c>
      <c r="L414" s="3">
        <f t="shared" si="4"/>
        <v>368009.89279999997</v>
      </c>
      <c r="M414" s="3">
        <f t="shared" si="5"/>
        <v>250440</v>
      </c>
    </row>
    <row r="415" spans="1:13" ht="14.25" customHeight="1" x14ac:dyDescent="0.25">
      <c r="A415" s="3">
        <v>421</v>
      </c>
      <c r="B415" s="6">
        <v>44666</v>
      </c>
      <c r="C415" s="3" t="s">
        <v>13</v>
      </c>
      <c r="D415" s="3" t="s">
        <v>20</v>
      </c>
      <c r="E415" s="3" t="s">
        <v>31</v>
      </c>
      <c r="F415" s="3" t="s">
        <v>16</v>
      </c>
      <c r="G415" s="3">
        <v>1233</v>
      </c>
      <c r="H415" s="3">
        <v>250</v>
      </c>
      <c r="I415" s="3">
        <v>300</v>
      </c>
      <c r="J415" s="3">
        <f t="shared" si="3"/>
        <v>369900</v>
      </c>
      <c r="K415" s="4">
        <v>0.22</v>
      </c>
      <c r="L415" s="3">
        <f t="shared" si="4"/>
        <v>370713.78</v>
      </c>
      <c r="M415" s="3">
        <f t="shared" si="5"/>
        <v>308250</v>
      </c>
    </row>
    <row r="416" spans="1:13" ht="14.25" customHeight="1" x14ac:dyDescent="0.25">
      <c r="A416" s="3">
        <v>161</v>
      </c>
      <c r="B416" s="6">
        <v>44538</v>
      </c>
      <c r="C416" s="3" t="s">
        <v>29</v>
      </c>
      <c r="D416" s="3" t="s">
        <v>20</v>
      </c>
      <c r="E416" s="3" t="s">
        <v>32</v>
      </c>
      <c r="F416" s="3" t="s">
        <v>19</v>
      </c>
      <c r="G416" s="3">
        <v>1074</v>
      </c>
      <c r="H416" s="3">
        <v>260</v>
      </c>
      <c r="I416" s="3">
        <v>348</v>
      </c>
      <c r="J416" s="3">
        <f t="shared" si="3"/>
        <v>373752</v>
      </c>
      <c r="K416" s="4">
        <v>0.06</v>
      </c>
      <c r="L416" s="3">
        <f t="shared" si="4"/>
        <v>373976.2512</v>
      </c>
      <c r="M416" s="3">
        <f t="shared" si="5"/>
        <v>279240</v>
      </c>
    </row>
    <row r="417" spans="1:13" ht="14.25" customHeight="1" x14ac:dyDescent="0.25">
      <c r="A417" s="3">
        <v>203</v>
      </c>
      <c r="B417" s="6">
        <v>45244</v>
      </c>
      <c r="C417" s="3" t="s">
        <v>26</v>
      </c>
      <c r="D417" s="3" t="s">
        <v>22</v>
      </c>
      <c r="E417" s="3" t="s">
        <v>32</v>
      </c>
      <c r="F417" s="3" t="s">
        <v>21</v>
      </c>
      <c r="G417" s="3">
        <v>1250</v>
      </c>
      <c r="H417" s="3">
        <v>260</v>
      </c>
      <c r="I417" s="3">
        <v>300</v>
      </c>
      <c r="J417" s="3">
        <f t="shared" si="3"/>
        <v>375000</v>
      </c>
      <c r="K417" s="4">
        <v>0.15</v>
      </c>
      <c r="L417" s="3">
        <f t="shared" si="4"/>
        <v>375562.5</v>
      </c>
      <c r="M417" s="3">
        <f t="shared" si="5"/>
        <v>325000</v>
      </c>
    </row>
    <row r="418" spans="1:13" ht="14.25" customHeight="1" x14ac:dyDescent="0.25">
      <c r="A418" s="3">
        <v>105</v>
      </c>
      <c r="B418" s="6">
        <v>44645</v>
      </c>
      <c r="C418" s="3" t="s">
        <v>26</v>
      </c>
      <c r="D418" s="3" t="s">
        <v>20</v>
      </c>
      <c r="E418" s="3" t="s">
        <v>32</v>
      </c>
      <c r="F418" s="3" t="s">
        <v>19</v>
      </c>
      <c r="G418" s="3">
        <v>1101</v>
      </c>
      <c r="H418" s="3">
        <v>260</v>
      </c>
      <c r="I418" s="3">
        <v>341</v>
      </c>
      <c r="J418" s="3">
        <f t="shared" si="3"/>
        <v>375441</v>
      </c>
      <c r="K418" s="4">
        <v>0.09</v>
      </c>
      <c r="L418" s="3">
        <f t="shared" si="4"/>
        <v>375778.89689999999</v>
      </c>
      <c r="M418" s="3">
        <f t="shared" si="5"/>
        <v>286260</v>
      </c>
    </row>
    <row r="419" spans="1:13" ht="14.25" customHeight="1" x14ac:dyDescent="0.25">
      <c r="A419" s="3">
        <v>201</v>
      </c>
      <c r="B419" s="6">
        <v>44971</v>
      </c>
      <c r="C419" s="3" t="s">
        <v>13</v>
      </c>
      <c r="D419" s="3" t="s">
        <v>22</v>
      </c>
      <c r="E419" s="3" t="s">
        <v>32</v>
      </c>
      <c r="F419" s="3" t="s">
        <v>21</v>
      </c>
      <c r="G419" s="3">
        <v>1350</v>
      </c>
      <c r="H419" s="3">
        <v>260</v>
      </c>
      <c r="I419" s="3">
        <v>281</v>
      </c>
      <c r="J419" s="3">
        <f t="shared" si="3"/>
        <v>379350</v>
      </c>
      <c r="K419" s="4">
        <v>0.16</v>
      </c>
      <c r="L419" s="3">
        <f t="shared" si="4"/>
        <v>379956.96</v>
      </c>
      <c r="M419" s="3">
        <f t="shared" si="5"/>
        <v>351000</v>
      </c>
    </row>
    <row r="420" spans="1:13" ht="14.25" customHeight="1" x14ac:dyDescent="0.25">
      <c r="A420" s="3">
        <v>50</v>
      </c>
      <c r="B420" s="6">
        <v>44250</v>
      </c>
      <c r="C420" s="3" t="s">
        <v>13</v>
      </c>
      <c r="D420" s="3" t="s">
        <v>14</v>
      </c>
      <c r="E420" s="3" t="s">
        <v>31</v>
      </c>
      <c r="F420" s="3" t="s">
        <v>19</v>
      </c>
      <c r="G420" s="3">
        <v>1326</v>
      </c>
      <c r="H420" s="3">
        <v>250</v>
      </c>
      <c r="I420" s="3">
        <v>288</v>
      </c>
      <c r="J420" s="3">
        <f t="shared" si="3"/>
        <v>381888</v>
      </c>
      <c r="K420" s="4">
        <v>7.0000000000000007E-2</v>
      </c>
      <c r="L420" s="3">
        <f t="shared" si="4"/>
        <v>382155.32160000002</v>
      </c>
      <c r="M420" s="3">
        <f t="shared" si="5"/>
        <v>331500</v>
      </c>
    </row>
    <row r="421" spans="1:13" ht="14.25" customHeight="1" x14ac:dyDescent="0.25">
      <c r="A421" s="3">
        <v>285</v>
      </c>
      <c r="B421" s="6">
        <v>45082</v>
      </c>
      <c r="C421" s="3" t="s">
        <v>13</v>
      </c>
      <c r="D421" s="3" t="s">
        <v>22</v>
      </c>
      <c r="E421" s="3" t="s">
        <v>30</v>
      </c>
      <c r="F421" s="3" t="s">
        <v>21</v>
      </c>
      <c r="G421" s="3">
        <v>2338</v>
      </c>
      <c r="H421" s="3">
        <v>120</v>
      </c>
      <c r="I421" s="3">
        <v>165</v>
      </c>
      <c r="J421" s="3">
        <f t="shared" si="3"/>
        <v>385770</v>
      </c>
      <c r="K421" s="4">
        <v>0.14000000000000001</v>
      </c>
      <c r="L421" s="3">
        <f t="shared" si="4"/>
        <v>386310.07799999998</v>
      </c>
      <c r="M421" s="3">
        <f t="shared" si="5"/>
        <v>280560</v>
      </c>
    </row>
    <row r="422" spans="1:13" ht="14.25" customHeight="1" x14ac:dyDescent="0.25">
      <c r="A422" s="3">
        <v>489</v>
      </c>
      <c r="B422" s="6">
        <v>44201</v>
      </c>
      <c r="C422" s="3" t="s">
        <v>26</v>
      </c>
      <c r="D422" s="3" t="s">
        <v>17</v>
      </c>
      <c r="E422" s="3" t="s">
        <v>30</v>
      </c>
      <c r="F422" s="3" t="s">
        <v>16</v>
      </c>
      <c r="G422" s="3">
        <v>2460</v>
      </c>
      <c r="H422" s="3">
        <v>120</v>
      </c>
      <c r="I422" s="3">
        <v>157</v>
      </c>
      <c r="J422" s="3">
        <f t="shared" si="3"/>
        <v>386220</v>
      </c>
      <c r="K422" s="4">
        <v>0.22</v>
      </c>
      <c r="L422" s="3">
        <f t="shared" si="4"/>
        <v>387069.68400000001</v>
      </c>
      <c r="M422" s="3">
        <f t="shared" si="5"/>
        <v>295200</v>
      </c>
    </row>
    <row r="423" spans="1:13" ht="14.25" customHeight="1" x14ac:dyDescent="0.25">
      <c r="A423" s="3">
        <v>78</v>
      </c>
      <c r="B423" s="6">
        <v>45976</v>
      </c>
      <c r="C423" s="3" t="s">
        <v>13</v>
      </c>
      <c r="D423" s="3" t="s">
        <v>20</v>
      </c>
      <c r="E423" s="3" t="s">
        <v>31</v>
      </c>
      <c r="F423" s="3" t="s">
        <v>19</v>
      </c>
      <c r="G423" s="3">
        <v>1397</v>
      </c>
      <c r="H423" s="3">
        <v>250</v>
      </c>
      <c r="I423" s="3">
        <v>282</v>
      </c>
      <c r="J423" s="3">
        <f t="shared" si="3"/>
        <v>393954</v>
      </c>
      <c r="K423" s="4">
        <v>0.05</v>
      </c>
      <c r="L423" s="3">
        <f t="shared" si="4"/>
        <v>394150.97700000001</v>
      </c>
      <c r="M423" s="3">
        <f t="shared" si="5"/>
        <v>349250</v>
      </c>
    </row>
    <row r="424" spans="1:13" ht="14.25" customHeight="1" x14ac:dyDescent="0.25">
      <c r="A424" s="3">
        <v>166</v>
      </c>
      <c r="B424" s="6">
        <v>44735</v>
      </c>
      <c r="C424" s="3" t="s">
        <v>23</v>
      </c>
      <c r="D424" s="3" t="s">
        <v>14</v>
      </c>
      <c r="E424" s="3" t="s">
        <v>30</v>
      </c>
      <c r="F424" s="3" t="s">
        <v>21</v>
      </c>
      <c r="G424" s="3">
        <v>2431</v>
      </c>
      <c r="H424" s="3">
        <v>120</v>
      </c>
      <c r="I424" s="3">
        <v>162</v>
      </c>
      <c r="J424" s="3">
        <f t="shared" si="3"/>
        <v>393822</v>
      </c>
      <c r="K424" s="4">
        <v>0.15</v>
      </c>
      <c r="L424" s="3">
        <f t="shared" si="4"/>
        <v>394412.73300000001</v>
      </c>
      <c r="M424" s="3">
        <f t="shared" si="5"/>
        <v>291720</v>
      </c>
    </row>
    <row r="425" spans="1:13" ht="14.25" customHeight="1" x14ac:dyDescent="0.25">
      <c r="A425" s="3">
        <v>31</v>
      </c>
      <c r="B425" s="6">
        <v>44748</v>
      </c>
      <c r="C425" s="3" t="s">
        <v>29</v>
      </c>
      <c r="D425" s="3" t="s">
        <v>17</v>
      </c>
      <c r="E425" s="3" t="s">
        <v>30</v>
      </c>
      <c r="F425" s="3" t="s">
        <v>28</v>
      </c>
      <c r="G425" s="3">
        <v>2821</v>
      </c>
      <c r="H425" s="3">
        <v>120</v>
      </c>
      <c r="I425" s="3">
        <v>140</v>
      </c>
      <c r="J425" s="3">
        <f t="shared" si="3"/>
        <v>394940</v>
      </c>
      <c r="K425" s="4">
        <v>0</v>
      </c>
      <c r="L425" s="3">
        <f t="shared" si="4"/>
        <v>394940</v>
      </c>
      <c r="M425" s="3">
        <f t="shared" si="5"/>
        <v>338520</v>
      </c>
    </row>
    <row r="426" spans="1:13" ht="14.25" customHeight="1" x14ac:dyDescent="0.25">
      <c r="A426" s="3">
        <v>323</v>
      </c>
      <c r="B426" s="6">
        <v>45167</v>
      </c>
      <c r="C426" s="3" t="s">
        <v>24</v>
      </c>
      <c r="D426" s="3" t="s">
        <v>25</v>
      </c>
      <c r="E426" s="3" t="s">
        <v>31</v>
      </c>
      <c r="F426" s="3" t="s">
        <v>21</v>
      </c>
      <c r="G426" s="3">
        <v>1227</v>
      </c>
      <c r="H426" s="3">
        <v>250</v>
      </c>
      <c r="I426" s="3">
        <v>323</v>
      </c>
      <c r="J426" s="3">
        <f t="shared" si="3"/>
        <v>396321</v>
      </c>
      <c r="K426" s="4">
        <v>0.18</v>
      </c>
      <c r="L426" s="3">
        <f t="shared" si="4"/>
        <v>397034.37780000002</v>
      </c>
      <c r="M426" s="3">
        <f t="shared" si="5"/>
        <v>306750</v>
      </c>
    </row>
    <row r="427" spans="1:13" ht="14.25" customHeight="1" x14ac:dyDescent="0.25">
      <c r="A427" s="3">
        <v>294</v>
      </c>
      <c r="B427" s="6">
        <v>45247</v>
      </c>
      <c r="C427" s="3" t="s">
        <v>13</v>
      </c>
      <c r="D427" s="3" t="s">
        <v>22</v>
      </c>
      <c r="E427" s="3" t="s">
        <v>32</v>
      </c>
      <c r="F427" s="3" t="s">
        <v>21</v>
      </c>
      <c r="G427" s="3">
        <v>1366</v>
      </c>
      <c r="H427" s="3">
        <v>260</v>
      </c>
      <c r="I427" s="3">
        <v>300</v>
      </c>
      <c r="J427" s="3">
        <f t="shared" si="3"/>
        <v>409800</v>
      </c>
      <c r="K427" s="4">
        <v>0.16</v>
      </c>
      <c r="L427" s="3">
        <f t="shared" si="4"/>
        <v>410455.68</v>
      </c>
      <c r="M427" s="3">
        <f t="shared" si="5"/>
        <v>355160</v>
      </c>
    </row>
    <row r="428" spans="1:13" ht="14.25" customHeight="1" x14ac:dyDescent="0.25">
      <c r="A428" s="3">
        <v>260</v>
      </c>
      <c r="B428" s="6">
        <v>44844</v>
      </c>
      <c r="C428" s="3" t="s">
        <v>26</v>
      </c>
      <c r="D428" s="3" t="s">
        <v>17</v>
      </c>
      <c r="E428" s="3" t="s">
        <v>32</v>
      </c>
      <c r="F428" s="3" t="s">
        <v>21</v>
      </c>
      <c r="G428" s="3">
        <v>1372</v>
      </c>
      <c r="H428" s="3">
        <v>260</v>
      </c>
      <c r="I428" s="3">
        <v>302</v>
      </c>
      <c r="J428" s="3">
        <f t="shared" si="3"/>
        <v>414344</v>
      </c>
      <c r="K428" s="4">
        <v>0.15</v>
      </c>
      <c r="L428" s="3">
        <f t="shared" si="4"/>
        <v>414965.516</v>
      </c>
      <c r="M428" s="3">
        <f t="shared" si="5"/>
        <v>356720</v>
      </c>
    </row>
    <row r="429" spans="1:13" ht="14.25" customHeight="1" x14ac:dyDescent="0.25">
      <c r="A429" s="3">
        <v>237</v>
      </c>
      <c r="B429" s="6">
        <v>45801</v>
      </c>
      <c r="C429" s="3" t="s">
        <v>13</v>
      </c>
      <c r="D429" s="3" t="s">
        <v>14</v>
      </c>
      <c r="E429" s="3" t="s">
        <v>31</v>
      </c>
      <c r="F429" s="3" t="s">
        <v>21</v>
      </c>
      <c r="G429" s="3">
        <v>1582</v>
      </c>
      <c r="H429" s="3">
        <v>250</v>
      </c>
      <c r="I429" s="3">
        <v>262</v>
      </c>
      <c r="J429" s="3">
        <f t="shared" si="3"/>
        <v>414484</v>
      </c>
      <c r="K429" s="4">
        <v>0.15</v>
      </c>
      <c r="L429" s="3">
        <f t="shared" si="4"/>
        <v>415105.72600000002</v>
      </c>
      <c r="M429" s="3">
        <f t="shared" si="5"/>
        <v>395500</v>
      </c>
    </row>
    <row r="430" spans="1:13" ht="14.25" customHeight="1" x14ac:dyDescent="0.25">
      <c r="A430" s="3">
        <v>219</v>
      </c>
      <c r="B430" s="6">
        <v>44458</v>
      </c>
      <c r="C430" s="3" t="s">
        <v>13</v>
      </c>
      <c r="D430" s="3" t="s">
        <v>20</v>
      </c>
      <c r="E430" s="3" t="s">
        <v>31</v>
      </c>
      <c r="F430" s="3" t="s">
        <v>21</v>
      </c>
      <c r="G430" s="3">
        <v>1498</v>
      </c>
      <c r="H430" s="3">
        <v>250</v>
      </c>
      <c r="I430" s="3">
        <v>280</v>
      </c>
      <c r="J430" s="3">
        <f t="shared" si="3"/>
        <v>419440</v>
      </c>
      <c r="K430" s="4">
        <v>0.13</v>
      </c>
      <c r="L430" s="3">
        <f t="shared" si="4"/>
        <v>419985.272</v>
      </c>
      <c r="M430" s="3">
        <f t="shared" si="5"/>
        <v>374500</v>
      </c>
    </row>
    <row r="431" spans="1:13" ht="14.25" customHeight="1" x14ac:dyDescent="0.25">
      <c r="A431" s="3">
        <v>131</v>
      </c>
      <c r="B431" s="6">
        <v>45159</v>
      </c>
      <c r="C431" s="3" t="s">
        <v>29</v>
      </c>
      <c r="D431" s="3" t="s">
        <v>22</v>
      </c>
      <c r="E431" s="3" t="s">
        <v>31</v>
      </c>
      <c r="F431" s="3" t="s">
        <v>19</v>
      </c>
      <c r="G431" s="3">
        <v>1570</v>
      </c>
      <c r="H431" s="3">
        <v>250</v>
      </c>
      <c r="I431" s="3">
        <v>270</v>
      </c>
      <c r="J431" s="3">
        <f t="shared" si="3"/>
        <v>423900</v>
      </c>
      <c r="K431" s="4">
        <v>0.09</v>
      </c>
      <c r="L431" s="3">
        <f t="shared" si="4"/>
        <v>424281.51</v>
      </c>
      <c r="M431" s="3">
        <f t="shared" si="5"/>
        <v>392500</v>
      </c>
    </row>
    <row r="432" spans="1:13" ht="14.25" customHeight="1" x14ac:dyDescent="0.25">
      <c r="A432" s="3">
        <v>354</v>
      </c>
      <c r="B432" s="6">
        <v>45208</v>
      </c>
      <c r="C432" s="3" t="s">
        <v>13</v>
      </c>
      <c r="D432" s="3" t="s">
        <v>22</v>
      </c>
      <c r="E432" s="3" t="s">
        <v>30</v>
      </c>
      <c r="F432" s="3" t="s">
        <v>16</v>
      </c>
      <c r="G432" s="3">
        <v>2665</v>
      </c>
      <c r="H432" s="3">
        <v>120</v>
      </c>
      <c r="I432" s="3">
        <v>160</v>
      </c>
      <c r="J432" s="3">
        <f t="shared" si="3"/>
        <v>426400</v>
      </c>
      <c r="K432" s="4">
        <v>0.24</v>
      </c>
      <c r="L432" s="3">
        <f t="shared" si="4"/>
        <v>427423.36</v>
      </c>
      <c r="M432" s="3">
        <f t="shared" si="5"/>
        <v>319800</v>
      </c>
    </row>
    <row r="433" spans="1:13" ht="14.25" customHeight="1" x14ac:dyDescent="0.25">
      <c r="A433" s="3">
        <v>513</v>
      </c>
      <c r="B433" s="6">
        <v>45911</v>
      </c>
      <c r="C433" s="3" t="s">
        <v>24</v>
      </c>
      <c r="D433" s="3" t="s">
        <v>25</v>
      </c>
      <c r="E433" s="3" t="s">
        <v>30</v>
      </c>
      <c r="F433" s="3" t="s">
        <v>16</v>
      </c>
      <c r="G433" s="3">
        <v>2826</v>
      </c>
      <c r="H433" s="3">
        <v>120</v>
      </c>
      <c r="I433" s="3">
        <v>152</v>
      </c>
      <c r="J433" s="3">
        <f t="shared" si="3"/>
        <v>429552</v>
      </c>
      <c r="K433" s="4">
        <v>0.2</v>
      </c>
      <c r="L433" s="3">
        <f t="shared" si="4"/>
        <v>430411.10399999999</v>
      </c>
      <c r="M433" s="3">
        <f t="shared" si="5"/>
        <v>339120</v>
      </c>
    </row>
    <row r="434" spans="1:13" ht="14.25" customHeight="1" x14ac:dyDescent="0.25">
      <c r="A434" s="3">
        <v>492</v>
      </c>
      <c r="B434" s="6">
        <v>45233</v>
      </c>
      <c r="C434" s="3" t="s">
        <v>26</v>
      </c>
      <c r="D434" s="3" t="s">
        <v>14</v>
      </c>
      <c r="E434" s="3" t="s">
        <v>31</v>
      </c>
      <c r="F434" s="3" t="s">
        <v>16</v>
      </c>
      <c r="G434" s="3">
        <v>1496</v>
      </c>
      <c r="H434" s="3">
        <v>250</v>
      </c>
      <c r="I434" s="3">
        <v>290</v>
      </c>
      <c r="J434" s="3">
        <f t="shared" si="3"/>
        <v>433840</v>
      </c>
      <c r="K434" s="4">
        <v>0.21</v>
      </c>
      <c r="L434" s="3">
        <f t="shared" si="4"/>
        <v>434751.06400000001</v>
      </c>
      <c r="M434" s="3">
        <f t="shared" si="5"/>
        <v>374000</v>
      </c>
    </row>
    <row r="435" spans="1:13" ht="14.25" customHeight="1" x14ac:dyDescent="0.25">
      <c r="A435" s="3">
        <v>296</v>
      </c>
      <c r="B435" s="6">
        <v>44480</v>
      </c>
      <c r="C435" s="3" t="s">
        <v>13</v>
      </c>
      <c r="D435" s="3" t="s">
        <v>22</v>
      </c>
      <c r="E435" s="3" t="s">
        <v>32</v>
      </c>
      <c r="F435" s="3" t="s">
        <v>21</v>
      </c>
      <c r="G435" s="3">
        <v>1520</v>
      </c>
      <c r="H435" s="3">
        <v>260</v>
      </c>
      <c r="I435" s="3">
        <v>288</v>
      </c>
      <c r="J435" s="3">
        <f t="shared" si="3"/>
        <v>437760</v>
      </c>
      <c r="K435" s="4">
        <v>0.16</v>
      </c>
      <c r="L435" s="3">
        <f t="shared" si="4"/>
        <v>438460.41600000003</v>
      </c>
      <c r="M435" s="3">
        <f t="shared" si="5"/>
        <v>395200</v>
      </c>
    </row>
    <row r="436" spans="1:13" ht="14.25" customHeight="1" x14ac:dyDescent="0.25">
      <c r="A436" s="3">
        <v>214</v>
      </c>
      <c r="B436" s="6">
        <v>45540</v>
      </c>
      <c r="C436" s="3" t="s">
        <v>29</v>
      </c>
      <c r="D436" s="3" t="s">
        <v>17</v>
      </c>
      <c r="E436" s="3" t="s">
        <v>30</v>
      </c>
      <c r="F436" s="3" t="s">
        <v>21</v>
      </c>
      <c r="G436" s="3">
        <v>2755</v>
      </c>
      <c r="H436" s="3">
        <v>120</v>
      </c>
      <c r="I436" s="3">
        <v>162</v>
      </c>
      <c r="J436" s="3">
        <f t="shared" si="3"/>
        <v>446310</v>
      </c>
      <c r="K436" s="4">
        <v>0.14000000000000001</v>
      </c>
      <c r="L436" s="3">
        <f t="shared" si="4"/>
        <v>446934.83399999997</v>
      </c>
      <c r="M436" s="3">
        <f t="shared" si="5"/>
        <v>330600</v>
      </c>
    </row>
    <row r="437" spans="1:13" ht="14.25" customHeight="1" x14ac:dyDescent="0.25">
      <c r="A437" s="3">
        <v>264</v>
      </c>
      <c r="B437" s="6">
        <v>44828</v>
      </c>
      <c r="C437" s="3" t="s">
        <v>13</v>
      </c>
      <c r="D437" s="3" t="s">
        <v>17</v>
      </c>
      <c r="E437" s="3" t="s">
        <v>32</v>
      </c>
      <c r="F437" s="3" t="s">
        <v>21</v>
      </c>
      <c r="G437" s="3">
        <v>1282</v>
      </c>
      <c r="H437" s="3">
        <v>260</v>
      </c>
      <c r="I437" s="3">
        <v>349</v>
      </c>
      <c r="J437" s="3">
        <f t="shared" si="3"/>
        <v>447418</v>
      </c>
      <c r="K437" s="4">
        <v>0.12</v>
      </c>
      <c r="L437" s="3">
        <f t="shared" si="4"/>
        <v>447954.90159999998</v>
      </c>
      <c r="M437" s="3">
        <f t="shared" si="5"/>
        <v>333320</v>
      </c>
    </row>
    <row r="438" spans="1:13" ht="14.25" customHeight="1" x14ac:dyDescent="0.25">
      <c r="A438" s="3">
        <v>194</v>
      </c>
      <c r="B438" s="6">
        <v>44845</v>
      </c>
      <c r="C438" s="3" t="s">
        <v>13</v>
      </c>
      <c r="D438" s="3" t="s">
        <v>17</v>
      </c>
      <c r="E438" s="3" t="s">
        <v>30</v>
      </c>
      <c r="F438" s="3" t="s">
        <v>21</v>
      </c>
      <c r="G438" s="3">
        <v>2832</v>
      </c>
      <c r="H438" s="3">
        <v>120</v>
      </c>
      <c r="I438" s="3">
        <v>159</v>
      </c>
      <c r="J438" s="3">
        <f t="shared" si="3"/>
        <v>450288</v>
      </c>
      <c r="K438" s="4">
        <v>0.12</v>
      </c>
      <c r="L438" s="3">
        <f t="shared" si="4"/>
        <v>450828.3456</v>
      </c>
      <c r="M438" s="3">
        <f t="shared" si="5"/>
        <v>339840</v>
      </c>
    </row>
    <row r="439" spans="1:13" ht="14.25" customHeight="1" x14ac:dyDescent="0.25">
      <c r="A439" s="3">
        <v>98</v>
      </c>
      <c r="B439" s="6">
        <v>44203</v>
      </c>
      <c r="C439" s="3" t="s">
        <v>13</v>
      </c>
      <c r="D439" s="3" t="s">
        <v>22</v>
      </c>
      <c r="E439" s="3" t="s">
        <v>30</v>
      </c>
      <c r="F439" s="3" t="s">
        <v>19</v>
      </c>
      <c r="G439" s="3">
        <v>2877</v>
      </c>
      <c r="H439" s="3">
        <v>120</v>
      </c>
      <c r="I439" s="3">
        <v>161</v>
      </c>
      <c r="J439" s="3">
        <f t="shared" si="3"/>
        <v>463197</v>
      </c>
      <c r="K439" s="4">
        <v>0.01</v>
      </c>
      <c r="L439" s="3">
        <f t="shared" si="4"/>
        <v>463243.31969999999</v>
      </c>
      <c r="M439" s="3">
        <f t="shared" si="5"/>
        <v>345240</v>
      </c>
    </row>
    <row r="440" spans="1:13" ht="14.25" customHeight="1" x14ac:dyDescent="0.25">
      <c r="A440" s="3">
        <v>429</v>
      </c>
      <c r="B440" s="6">
        <v>44589</v>
      </c>
      <c r="C440" s="3" t="s">
        <v>13</v>
      </c>
      <c r="D440" s="3" t="s">
        <v>22</v>
      </c>
      <c r="E440" s="3" t="s">
        <v>31</v>
      </c>
      <c r="F440" s="3" t="s">
        <v>16</v>
      </c>
      <c r="G440" s="3">
        <v>1531</v>
      </c>
      <c r="H440" s="3">
        <v>250</v>
      </c>
      <c r="I440" s="3">
        <v>302</v>
      </c>
      <c r="J440" s="3">
        <f t="shared" si="3"/>
        <v>462362</v>
      </c>
      <c r="K440" s="4">
        <v>0.21</v>
      </c>
      <c r="L440" s="3">
        <f t="shared" si="4"/>
        <v>463332.96019999997</v>
      </c>
      <c r="M440" s="3">
        <f t="shared" si="5"/>
        <v>382750</v>
      </c>
    </row>
    <row r="441" spans="1:13" ht="14.25" customHeight="1" x14ac:dyDescent="0.25">
      <c r="A441" s="3">
        <v>471</v>
      </c>
      <c r="B441" s="6">
        <v>45394</v>
      </c>
      <c r="C441" s="3" t="s">
        <v>23</v>
      </c>
      <c r="D441" s="3" t="s">
        <v>25</v>
      </c>
      <c r="E441" s="3" t="s">
        <v>32</v>
      </c>
      <c r="F441" s="3" t="s">
        <v>16</v>
      </c>
      <c r="G441" s="3">
        <v>1393</v>
      </c>
      <c r="H441" s="3">
        <v>260</v>
      </c>
      <c r="I441" s="3">
        <v>332</v>
      </c>
      <c r="J441" s="3">
        <f t="shared" si="3"/>
        <v>462476</v>
      </c>
      <c r="K441" s="4">
        <v>0.22</v>
      </c>
      <c r="L441" s="3">
        <f t="shared" si="4"/>
        <v>463493.4472</v>
      </c>
      <c r="M441" s="3">
        <f t="shared" si="5"/>
        <v>362180</v>
      </c>
    </row>
    <row r="442" spans="1:13" ht="14.25" customHeight="1" x14ac:dyDescent="0.25">
      <c r="A442" s="3">
        <v>284</v>
      </c>
      <c r="B442" s="6">
        <v>45956</v>
      </c>
      <c r="C442" s="3" t="s">
        <v>13</v>
      </c>
      <c r="D442" s="3" t="s">
        <v>17</v>
      </c>
      <c r="E442" s="3" t="s">
        <v>30</v>
      </c>
      <c r="F442" s="3" t="s">
        <v>21</v>
      </c>
      <c r="G442" s="3">
        <v>2907</v>
      </c>
      <c r="H442" s="3">
        <v>120</v>
      </c>
      <c r="I442" s="3">
        <v>161</v>
      </c>
      <c r="J442" s="3">
        <f t="shared" si="3"/>
        <v>468027</v>
      </c>
      <c r="K442" s="4">
        <v>0.11</v>
      </c>
      <c r="L442" s="3">
        <f t="shared" si="4"/>
        <v>468541.8297</v>
      </c>
      <c r="M442" s="3">
        <f t="shared" si="5"/>
        <v>348840</v>
      </c>
    </row>
    <row r="443" spans="1:13" ht="14.25" customHeight="1" x14ac:dyDescent="0.25">
      <c r="A443" s="3">
        <v>133</v>
      </c>
      <c r="B443" s="6">
        <v>45902</v>
      </c>
      <c r="C443" s="3" t="s">
        <v>13</v>
      </c>
      <c r="D443" s="3" t="s">
        <v>20</v>
      </c>
      <c r="E443" s="3" t="s">
        <v>31</v>
      </c>
      <c r="F443" s="3" t="s">
        <v>19</v>
      </c>
      <c r="G443" s="3">
        <v>1642</v>
      </c>
      <c r="H443" s="3">
        <v>250</v>
      </c>
      <c r="I443" s="3">
        <v>286</v>
      </c>
      <c r="J443" s="3">
        <f t="shared" si="3"/>
        <v>469612</v>
      </c>
      <c r="K443" s="4">
        <v>0.02</v>
      </c>
      <c r="L443" s="3">
        <f t="shared" si="4"/>
        <v>469705.92239999998</v>
      </c>
      <c r="M443" s="3">
        <f t="shared" si="5"/>
        <v>410500</v>
      </c>
    </row>
    <row r="444" spans="1:13" ht="14.25" customHeight="1" x14ac:dyDescent="0.25">
      <c r="A444" s="3">
        <v>191</v>
      </c>
      <c r="B444" s="6">
        <v>45703</v>
      </c>
      <c r="C444" s="3" t="s">
        <v>24</v>
      </c>
      <c r="D444" s="3" t="s">
        <v>20</v>
      </c>
      <c r="E444" s="3" t="s">
        <v>30</v>
      </c>
      <c r="F444" s="3" t="s">
        <v>21</v>
      </c>
      <c r="G444" s="3">
        <v>2861</v>
      </c>
      <c r="H444" s="3">
        <v>120</v>
      </c>
      <c r="I444" s="3">
        <v>164</v>
      </c>
      <c r="J444" s="3">
        <f t="shared" si="3"/>
        <v>469204</v>
      </c>
      <c r="K444" s="4">
        <v>0.16</v>
      </c>
      <c r="L444" s="3">
        <f t="shared" si="4"/>
        <v>469954.72639999999</v>
      </c>
      <c r="M444" s="3">
        <f t="shared" si="5"/>
        <v>343320</v>
      </c>
    </row>
    <row r="445" spans="1:13" ht="14.25" customHeight="1" x14ac:dyDescent="0.25">
      <c r="A445" s="3">
        <v>221</v>
      </c>
      <c r="B445" s="6">
        <v>45695</v>
      </c>
      <c r="C445" s="3" t="s">
        <v>13</v>
      </c>
      <c r="D445" s="3" t="s">
        <v>20</v>
      </c>
      <c r="E445" s="3" t="s">
        <v>32</v>
      </c>
      <c r="F445" s="3" t="s">
        <v>21</v>
      </c>
      <c r="G445" s="3">
        <v>1679</v>
      </c>
      <c r="H445" s="3">
        <v>260</v>
      </c>
      <c r="I445" s="3">
        <v>281</v>
      </c>
      <c r="J445" s="3">
        <f t="shared" si="3"/>
        <v>471799</v>
      </c>
      <c r="K445" s="4">
        <v>0.19</v>
      </c>
      <c r="L445" s="3">
        <f t="shared" si="4"/>
        <v>472695.41810000001</v>
      </c>
      <c r="M445" s="3">
        <f t="shared" si="5"/>
        <v>436540</v>
      </c>
    </row>
    <row r="446" spans="1:13" ht="14.25" customHeight="1" x14ac:dyDescent="0.25">
      <c r="A446" s="3">
        <v>396</v>
      </c>
      <c r="B446" s="6">
        <v>45467</v>
      </c>
      <c r="C446" s="3" t="s">
        <v>29</v>
      </c>
      <c r="D446" s="3" t="s">
        <v>25</v>
      </c>
      <c r="E446" s="3" t="s">
        <v>32</v>
      </c>
      <c r="F446" s="3" t="s">
        <v>16</v>
      </c>
      <c r="G446" s="3">
        <v>1433</v>
      </c>
      <c r="H446" s="3">
        <v>260</v>
      </c>
      <c r="I446" s="3">
        <v>336</v>
      </c>
      <c r="J446" s="3">
        <f t="shared" si="3"/>
        <v>481488</v>
      </c>
      <c r="K446" s="4">
        <v>0.25</v>
      </c>
      <c r="L446" s="3">
        <f t="shared" si="4"/>
        <v>482691.72</v>
      </c>
      <c r="M446" s="3">
        <f t="shared" si="5"/>
        <v>372580</v>
      </c>
    </row>
    <row r="447" spans="1:13" ht="14.25" customHeight="1" x14ac:dyDescent="0.25">
      <c r="A447" s="3">
        <v>457</v>
      </c>
      <c r="B447" s="6">
        <v>44845</v>
      </c>
      <c r="C447" s="3" t="s">
        <v>29</v>
      </c>
      <c r="D447" s="3" t="s">
        <v>14</v>
      </c>
      <c r="E447" s="3" t="s">
        <v>31</v>
      </c>
      <c r="F447" s="3" t="s">
        <v>16</v>
      </c>
      <c r="G447" s="3">
        <v>1583</v>
      </c>
      <c r="H447" s="3">
        <v>250</v>
      </c>
      <c r="I447" s="3">
        <v>307</v>
      </c>
      <c r="J447" s="3">
        <f t="shared" si="3"/>
        <v>485981</v>
      </c>
      <c r="K447" s="4">
        <v>0.23</v>
      </c>
      <c r="L447" s="3">
        <f t="shared" si="4"/>
        <v>487098.75630000001</v>
      </c>
      <c r="M447" s="3">
        <f t="shared" si="5"/>
        <v>395750</v>
      </c>
    </row>
    <row r="448" spans="1:13" ht="14.25" customHeight="1" x14ac:dyDescent="0.25">
      <c r="A448" s="3">
        <v>428</v>
      </c>
      <c r="B448" s="6">
        <v>44836</v>
      </c>
      <c r="C448" s="3" t="s">
        <v>13</v>
      </c>
      <c r="D448" s="3" t="s">
        <v>25</v>
      </c>
      <c r="E448" s="3" t="s">
        <v>31</v>
      </c>
      <c r="F448" s="3" t="s">
        <v>16</v>
      </c>
      <c r="G448" s="3">
        <v>1491</v>
      </c>
      <c r="H448" s="3">
        <v>250</v>
      </c>
      <c r="I448" s="3">
        <v>327</v>
      </c>
      <c r="J448" s="3">
        <f t="shared" si="3"/>
        <v>487557</v>
      </c>
      <c r="K448" s="4">
        <v>0.24</v>
      </c>
      <c r="L448" s="3">
        <f t="shared" si="4"/>
        <v>488727.13679999998</v>
      </c>
      <c r="M448" s="3">
        <f t="shared" si="5"/>
        <v>372750</v>
      </c>
    </row>
    <row r="449" spans="1:13" ht="14.25" customHeight="1" x14ac:dyDescent="0.25">
      <c r="A449" s="3">
        <v>327</v>
      </c>
      <c r="B449" s="6">
        <v>45103</v>
      </c>
      <c r="C449" s="3" t="s">
        <v>13</v>
      </c>
      <c r="D449" s="3" t="s">
        <v>20</v>
      </c>
      <c r="E449" s="3" t="s">
        <v>32</v>
      </c>
      <c r="F449" s="3" t="s">
        <v>21</v>
      </c>
      <c r="G449" s="3">
        <v>1694</v>
      </c>
      <c r="H449" s="3">
        <v>260</v>
      </c>
      <c r="I449" s="3">
        <v>291</v>
      </c>
      <c r="J449" s="3">
        <f t="shared" si="3"/>
        <v>492954</v>
      </c>
      <c r="K449" s="4">
        <v>0.15</v>
      </c>
      <c r="L449" s="3">
        <f t="shared" si="4"/>
        <v>493693.43099999998</v>
      </c>
      <c r="M449" s="3">
        <f t="shared" si="5"/>
        <v>440440</v>
      </c>
    </row>
    <row r="450" spans="1:13" ht="14.25" customHeight="1" x14ac:dyDescent="0.25">
      <c r="A450" s="3">
        <v>340</v>
      </c>
      <c r="B450" s="6">
        <v>45331</v>
      </c>
      <c r="C450" s="3" t="s">
        <v>24</v>
      </c>
      <c r="D450" s="3" t="s">
        <v>14</v>
      </c>
      <c r="E450" s="3" t="s">
        <v>32</v>
      </c>
      <c r="F450" s="3" t="s">
        <v>21</v>
      </c>
      <c r="G450" s="3">
        <v>1630.5</v>
      </c>
      <c r="H450" s="3">
        <v>260</v>
      </c>
      <c r="I450" s="3">
        <v>303</v>
      </c>
      <c r="J450" s="3">
        <f t="shared" si="3"/>
        <v>494041.5</v>
      </c>
      <c r="K450" s="4">
        <v>0.12</v>
      </c>
      <c r="L450" s="3">
        <f t="shared" si="4"/>
        <v>494634.34980000003</v>
      </c>
      <c r="M450" s="3">
        <f t="shared" si="5"/>
        <v>423930</v>
      </c>
    </row>
    <row r="451" spans="1:13" ht="14.25" customHeight="1" x14ac:dyDescent="0.25">
      <c r="A451" s="3">
        <v>373</v>
      </c>
      <c r="B451" s="6">
        <v>45348</v>
      </c>
      <c r="C451" s="3" t="s">
        <v>13</v>
      </c>
      <c r="D451" s="3" t="s">
        <v>17</v>
      </c>
      <c r="E451" s="3" t="s">
        <v>31</v>
      </c>
      <c r="F451" s="3" t="s">
        <v>16</v>
      </c>
      <c r="G451" s="3">
        <v>1579</v>
      </c>
      <c r="H451" s="3">
        <v>250</v>
      </c>
      <c r="I451" s="3">
        <v>315</v>
      </c>
      <c r="J451" s="3">
        <f t="shared" si="3"/>
        <v>497385</v>
      </c>
      <c r="K451" s="4">
        <v>0.25</v>
      </c>
      <c r="L451" s="3">
        <f t="shared" si="4"/>
        <v>498628.46250000002</v>
      </c>
      <c r="M451" s="3">
        <f t="shared" si="5"/>
        <v>394750</v>
      </c>
    </row>
    <row r="452" spans="1:13" ht="14.25" customHeight="1" x14ac:dyDescent="0.25">
      <c r="A452" s="3">
        <v>458</v>
      </c>
      <c r="B452" s="6">
        <v>45512</v>
      </c>
      <c r="C452" s="3" t="s">
        <v>24</v>
      </c>
      <c r="D452" s="3" t="s">
        <v>14</v>
      </c>
      <c r="E452" s="3" t="s">
        <v>31</v>
      </c>
      <c r="F452" s="3" t="s">
        <v>16</v>
      </c>
      <c r="G452" s="3">
        <v>1565</v>
      </c>
      <c r="H452" s="3">
        <v>250</v>
      </c>
      <c r="I452" s="3">
        <v>322</v>
      </c>
      <c r="J452" s="3">
        <f t="shared" si="3"/>
        <v>503930</v>
      </c>
      <c r="K452" s="4">
        <v>0.2</v>
      </c>
      <c r="L452" s="3">
        <f t="shared" si="4"/>
        <v>504937.86</v>
      </c>
      <c r="M452" s="3">
        <f t="shared" si="5"/>
        <v>391250</v>
      </c>
    </row>
    <row r="453" spans="1:13" ht="14.25" customHeight="1" x14ac:dyDescent="0.25">
      <c r="A453" s="3">
        <v>525</v>
      </c>
      <c r="B453" s="6">
        <v>45520</v>
      </c>
      <c r="C453" s="3" t="s">
        <v>23</v>
      </c>
      <c r="D453" s="3" t="s">
        <v>17</v>
      </c>
      <c r="E453" s="3" t="s">
        <v>31</v>
      </c>
      <c r="F453" s="3" t="s">
        <v>16</v>
      </c>
      <c r="G453" s="3">
        <v>1806</v>
      </c>
      <c r="H453" s="3">
        <v>250</v>
      </c>
      <c r="I453" s="3">
        <v>283</v>
      </c>
      <c r="J453" s="3">
        <f t="shared" si="3"/>
        <v>511098</v>
      </c>
      <c r="K453" s="4">
        <v>0.25</v>
      </c>
      <c r="L453" s="3">
        <f t="shared" si="4"/>
        <v>512375.745</v>
      </c>
      <c r="M453" s="3">
        <f t="shared" si="5"/>
        <v>451500</v>
      </c>
    </row>
    <row r="454" spans="1:13" ht="14.25" customHeight="1" x14ac:dyDescent="0.25">
      <c r="A454" s="3">
        <v>42</v>
      </c>
      <c r="B454" s="6">
        <v>45669</v>
      </c>
      <c r="C454" s="3" t="s">
        <v>13</v>
      </c>
      <c r="D454" s="3" t="s">
        <v>22</v>
      </c>
      <c r="E454" s="3" t="s">
        <v>32</v>
      </c>
      <c r="F454" s="3" t="s">
        <v>28</v>
      </c>
      <c r="G454" s="3">
        <v>1686</v>
      </c>
      <c r="H454" s="3">
        <v>260</v>
      </c>
      <c r="I454" s="3">
        <v>305</v>
      </c>
      <c r="J454" s="3">
        <f t="shared" si="3"/>
        <v>514230</v>
      </c>
      <c r="K454" s="4">
        <v>0</v>
      </c>
      <c r="L454" s="3">
        <f t="shared" si="4"/>
        <v>514230</v>
      </c>
      <c r="M454" s="3">
        <f t="shared" si="5"/>
        <v>438360</v>
      </c>
    </row>
    <row r="455" spans="1:13" ht="14.25" customHeight="1" x14ac:dyDescent="0.25">
      <c r="A455" s="3">
        <v>498</v>
      </c>
      <c r="B455" s="6">
        <v>45561</v>
      </c>
      <c r="C455" s="3" t="s">
        <v>13</v>
      </c>
      <c r="D455" s="3" t="s">
        <v>25</v>
      </c>
      <c r="E455" s="3" t="s">
        <v>32</v>
      </c>
      <c r="F455" s="3" t="s">
        <v>16</v>
      </c>
      <c r="G455" s="3">
        <v>1731</v>
      </c>
      <c r="H455" s="3">
        <v>260</v>
      </c>
      <c r="I455" s="3">
        <v>301</v>
      </c>
      <c r="J455" s="3">
        <f t="shared" si="3"/>
        <v>521031</v>
      </c>
      <c r="K455" s="4">
        <v>0.23</v>
      </c>
      <c r="L455" s="3">
        <f t="shared" si="4"/>
        <v>522229.3713</v>
      </c>
      <c r="M455" s="3">
        <f t="shared" si="5"/>
        <v>450060</v>
      </c>
    </row>
    <row r="456" spans="1:13" ht="14.25" customHeight="1" x14ac:dyDescent="0.25">
      <c r="A456" s="3">
        <v>135</v>
      </c>
      <c r="B456" s="6">
        <v>45783</v>
      </c>
      <c r="C456" s="3" t="s">
        <v>13</v>
      </c>
      <c r="D456" s="3" t="s">
        <v>14</v>
      </c>
      <c r="E456" s="3" t="s">
        <v>30</v>
      </c>
      <c r="F456" s="3" t="s">
        <v>19</v>
      </c>
      <c r="G456" s="3">
        <v>3850.5</v>
      </c>
      <c r="H456" s="3">
        <v>120</v>
      </c>
      <c r="I456" s="3">
        <v>136</v>
      </c>
      <c r="J456" s="3">
        <f t="shared" si="3"/>
        <v>523668</v>
      </c>
      <c r="K456" s="4">
        <v>0.01</v>
      </c>
      <c r="L456" s="3">
        <f t="shared" si="4"/>
        <v>523720.36680000002</v>
      </c>
      <c r="M456" s="3">
        <f t="shared" si="5"/>
        <v>462060</v>
      </c>
    </row>
    <row r="457" spans="1:13" ht="14.25" customHeight="1" x14ac:dyDescent="0.25">
      <c r="A457" s="3">
        <v>37</v>
      </c>
      <c r="B457" s="6">
        <v>45471</v>
      </c>
      <c r="C457" s="3" t="s">
        <v>13</v>
      </c>
      <c r="D457" s="3" t="s">
        <v>14</v>
      </c>
      <c r="E457" s="3" t="s">
        <v>31</v>
      </c>
      <c r="F457" s="3" t="s">
        <v>28</v>
      </c>
      <c r="G457" s="3">
        <v>1817</v>
      </c>
      <c r="H457" s="3">
        <v>250</v>
      </c>
      <c r="I457" s="3">
        <v>290</v>
      </c>
      <c r="J457" s="3">
        <f t="shared" si="3"/>
        <v>526930</v>
      </c>
      <c r="K457" s="4">
        <v>0</v>
      </c>
      <c r="L457" s="3">
        <f t="shared" si="4"/>
        <v>526930</v>
      </c>
      <c r="M457" s="3">
        <f t="shared" si="5"/>
        <v>454250</v>
      </c>
    </row>
    <row r="458" spans="1:13" ht="14.25" customHeight="1" x14ac:dyDescent="0.25">
      <c r="A458" s="3">
        <v>160</v>
      </c>
      <c r="B458" s="6">
        <v>44358</v>
      </c>
      <c r="C458" s="3" t="s">
        <v>13</v>
      </c>
      <c r="D458" s="3" t="s">
        <v>20</v>
      </c>
      <c r="E458" s="3" t="s">
        <v>32</v>
      </c>
      <c r="F458" s="3" t="s">
        <v>19</v>
      </c>
      <c r="G458" s="3">
        <v>1865</v>
      </c>
      <c r="H458" s="3">
        <v>260</v>
      </c>
      <c r="I458" s="3">
        <v>284</v>
      </c>
      <c r="J458" s="3">
        <f t="shared" si="3"/>
        <v>529660</v>
      </c>
      <c r="K458" s="4">
        <v>0.08</v>
      </c>
      <c r="L458" s="3">
        <f t="shared" si="4"/>
        <v>530083.728</v>
      </c>
      <c r="M458" s="3">
        <f t="shared" si="5"/>
        <v>484900</v>
      </c>
    </row>
    <row r="459" spans="1:13" ht="14.25" customHeight="1" x14ac:dyDescent="0.25">
      <c r="A459" s="3">
        <v>459</v>
      </c>
      <c r="B459" s="6">
        <v>44233</v>
      </c>
      <c r="C459" s="3" t="s">
        <v>29</v>
      </c>
      <c r="D459" s="3" t="s">
        <v>14</v>
      </c>
      <c r="E459" s="3" t="s">
        <v>32</v>
      </c>
      <c r="F459" s="3" t="s">
        <v>16</v>
      </c>
      <c r="G459" s="3">
        <v>1659</v>
      </c>
      <c r="H459" s="3">
        <v>260</v>
      </c>
      <c r="I459" s="3">
        <v>319</v>
      </c>
      <c r="J459" s="3">
        <f t="shared" si="3"/>
        <v>529221</v>
      </c>
      <c r="K459" s="4">
        <v>0.21</v>
      </c>
      <c r="L459" s="3">
        <f t="shared" si="4"/>
        <v>530332.36410000001</v>
      </c>
      <c r="M459" s="3">
        <f t="shared" si="5"/>
        <v>431340</v>
      </c>
    </row>
    <row r="460" spans="1:13" ht="14.25" customHeight="1" x14ac:dyDescent="0.25">
      <c r="A460" s="3">
        <v>257</v>
      </c>
      <c r="B460" s="6">
        <v>45838</v>
      </c>
      <c r="C460" s="3" t="s">
        <v>29</v>
      </c>
      <c r="D460" s="3" t="s">
        <v>14</v>
      </c>
      <c r="E460" s="3" t="s">
        <v>32</v>
      </c>
      <c r="F460" s="3" t="s">
        <v>21</v>
      </c>
      <c r="G460" s="3">
        <v>1645</v>
      </c>
      <c r="H460" s="3">
        <v>260</v>
      </c>
      <c r="I460" s="3">
        <v>328</v>
      </c>
      <c r="J460" s="3">
        <f t="shared" si="3"/>
        <v>539560</v>
      </c>
      <c r="K460" s="4">
        <v>0.18</v>
      </c>
      <c r="L460" s="3">
        <f t="shared" si="4"/>
        <v>540531.20799999998</v>
      </c>
      <c r="M460" s="3">
        <f t="shared" si="5"/>
        <v>427700</v>
      </c>
    </row>
    <row r="461" spans="1:13" ht="14.25" customHeight="1" x14ac:dyDescent="0.25">
      <c r="A461" s="3">
        <v>236</v>
      </c>
      <c r="B461" s="6">
        <v>44466</v>
      </c>
      <c r="C461" s="3" t="s">
        <v>23</v>
      </c>
      <c r="D461" s="3" t="s">
        <v>25</v>
      </c>
      <c r="E461" s="3" t="s">
        <v>31</v>
      </c>
      <c r="F461" s="3" t="s">
        <v>21</v>
      </c>
      <c r="G461" s="3">
        <v>1738.5</v>
      </c>
      <c r="H461" s="3">
        <v>250</v>
      </c>
      <c r="I461" s="3">
        <v>313</v>
      </c>
      <c r="J461" s="3">
        <f t="shared" si="3"/>
        <v>544150.5</v>
      </c>
      <c r="K461" s="4">
        <v>0.19</v>
      </c>
      <c r="L461" s="3">
        <f t="shared" si="4"/>
        <v>545184.38595000003</v>
      </c>
      <c r="M461" s="3">
        <f t="shared" si="5"/>
        <v>434625</v>
      </c>
    </row>
    <row r="462" spans="1:13" ht="14.25" customHeight="1" x14ac:dyDescent="0.25">
      <c r="A462" s="3">
        <v>79</v>
      </c>
      <c r="B462" s="6">
        <v>44598</v>
      </c>
      <c r="C462" s="3" t="s">
        <v>29</v>
      </c>
      <c r="D462" s="3" t="s">
        <v>25</v>
      </c>
      <c r="E462" s="3" t="s">
        <v>31</v>
      </c>
      <c r="F462" s="3" t="s">
        <v>19</v>
      </c>
      <c r="G462" s="3">
        <v>1744</v>
      </c>
      <c r="H462" s="3">
        <v>250</v>
      </c>
      <c r="I462" s="3">
        <v>319</v>
      </c>
      <c r="J462" s="3">
        <f t="shared" si="3"/>
        <v>556336</v>
      </c>
      <c r="K462" s="4">
        <v>0.01</v>
      </c>
      <c r="L462" s="3">
        <f t="shared" si="4"/>
        <v>556391.63359999994</v>
      </c>
      <c r="M462" s="3">
        <f t="shared" si="5"/>
        <v>436000</v>
      </c>
    </row>
    <row r="463" spans="1:13" ht="14.25" customHeight="1" x14ac:dyDescent="0.25">
      <c r="A463" s="3">
        <v>70</v>
      </c>
      <c r="B463" s="6">
        <v>44603</v>
      </c>
      <c r="C463" s="3" t="s">
        <v>13</v>
      </c>
      <c r="D463" s="3" t="s">
        <v>25</v>
      </c>
      <c r="E463" s="3" t="s">
        <v>30</v>
      </c>
      <c r="F463" s="3" t="s">
        <v>19</v>
      </c>
      <c r="G463" s="3">
        <v>3864</v>
      </c>
      <c r="H463" s="3">
        <v>120</v>
      </c>
      <c r="I463" s="3">
        <v>144</v>
      </c>
      <c r="J463" s="3">
        <f t="shared" si="3"/>
        <v>556416</v>
      </c>
      <c r="K463" s="4">
        <v>7.0000000000000007E-2</v>
      </c>
      <c r="L463" s="3">
        <f t="shared" si="4"/>
        <v>556805.49120000005</v>
      </c>
      <c r="M463" s="3">
        <f t="shared" si="5"/>
        <v>463680</v>
      </c>
    </row>
    <row r="464" spans="1:13" ht="14.25" customHeight="1" x14ac:dyDescent="0.25">
      <c r="A464" s="3">
        <v>313</v>
      </c>
      <c r="B464" s="6">
        <v>45182</v>
      </c>
      <c r="C464" s="3" t="s">
        <v>26</v>
      </c>
      <c r="D464" s="3" t="s">
        <v>14</v>
      </c>
      <c r="E464" s="3" t="s">
        <v>30</v>
      </c>
      <c r="F464" s="3" t="s">
        <v>21</v>
      </c>
      <c r="G464" s="3">
        <v>3793.5</v>
      </c>
      <c r="H464" s="3">
        <v>120</v>
      </c>
      <c r="I464" s="3">
        <v>148</v>
      </c>
      <c r="J464" s="3">
        <f t="shared" si="3"/>
        <v>561438</v>
      </c>
      <c r="K464" s="4">
        <v>0.17</v>
      </c>
      <c r="L464" s="3">
        <f t="shared" si="4"/>
        <v>562392.44460000005</v>
      </c>
      <c r="M464" s="3">
        <f t="shared" si="5"/>
        <v>455220</v>
      </c>
    </row>
    <row r="465" spans="1:13" ht="14.25" customHeight="1" x14ac:dyDescent="0.25">
      <c r="A465" s="3">
        <v>451</v>
      </c>
      <c r="B465" s="6">
        <v>45218</v>
      </c>
      <c r="C465" s="3" t="s">
        <v>24</v>
      </c>
      <c r="D465" s="3" t="s">
        <v>25</v>
      </c>
      <c r="E465" s="3" t="s">
        <v>30</v>
      </c>
      <c r="F465" s="3" t="s">
        <v>16</v>
      </c>
      <c r="G465" s="3">
        <v>3997.5</v>
      </c>
      <c r="H465" s="3">
        <v>120</v>
      </c>
      <c r="I465" s="3">
        <v>142</v>
      </c>
      <c r="J465" s="3">
        <f t="shared" si="3"/>
        <v>567645</v>
      </c>
      <c r="K465" s="4">
        <v>0.24</v>
      </c>
      <c r="L465" s="3">
        <f t="shared" si="4"/>
        <v>569007.348</v>
      </c>
      <c r="M465" s="3">
        <f t="shared" si="5"/>
        <v>479700</v>
      </c>
    </row>
    <row r="466" spans="1:13" ht="14.25" customHeight="1" x14ac:dyDescent="0.25">
      <c r="A466" s="3">
        <v>168</v>
      </c>
      <c r="B466" s="6">
        <v>45310</v>
      </c>
      <c r="C466" s="3" t="s">
        <v>13</v>
      </c>
      <c r="D466" s="3" t="s">
        <v>20</v>
      </c>
      <c r="E466" s="3" t="s">
        <v>32</v>
      </c>
      <c r="F466" s="3" t="s">
        <v>21</v>
      </c>
      <c r="G466" s="3">
        <v>1683</v>
      </c>
      <c r="H466" s="3">
        <v>260</v>
      </c>
      <c r="I466" s="3">
        <v>339</v>
      </c>
      <c r="J466" s="3">
        <f t="shared" si="3"/>
        <v>570537</v>
      </c>
      <c r="K466" s="4">
        <v>0.16</v>
      </c>
      <c r="L466" s="3">
        <f t="shared" si="4"/>
        <v>571449.85919999995</v>
      </c>
      <c r="M466" s="3">
        <f t="shared" si="5"/>
        <v>437580</v>
      </c>
    </row>
    <row r="467" spans="1:13" ht="14.25" customHeight="1" x14ac:dyDescent="0.25">
      <c r="A467" s="3">
        <v>130</v>
      </c>
      <c r="B467" s="6">
        <v>44945</v>
      </c>
      <c r="C467" s="3" t="s">
        <v>23</v>
      </c>
      <c r="D467" s="3" t="s">
        <v>20</v>
      </c>
      <c r="E467" s="3" t="s">
        <v>31</v>
      </c>
      <c r="F467" s="3" t="s">
        <v>19</v>
      </c>
      <c r="G467" s="3">
        <v>1916</v>
      </c>
      <c r="H467" s="3">
        <v>250</v>
      </c>
      <c r="I467" s="3">
        <v>299</v>
      </c>
      <c r="J467" s="3">
        <f t="shared" si="3"/>
        <v>572884</v>
      </c>
      <c r="K467" s="4">
        <v>7.0000000000000007E-2</v>
      </c>
      <c r="L467" s="3">
        <f t="shared" si="4"/>
        <v>573285.01879999996</v>
      </c>
      <c r="M467" s="3">
        <f t="shared" si="5"/>
        <v>479000</v>
      </c>
    </row>
    <row r="468" spans="1:13" ht="14.25" customHeight="1" x14ac:dyDescent="0.25">
      <c r="A468" s="3">
        <v>132</v>
      </c>
      <c r="B468" s="6">
        <v>44264</v>
      </c>
      <c r="C468" s="3" t="s">
        <v>26</v>
      </c>
      <c r="D468" s="3" t="s">
        <v>14</v>
      </c>
      <c r="E468" s="3" t="s">
        <v>31</v>
      </c>
      <c r="F468" s="3" t="s">
        <v>19</v>
      </c>
      <c r="G468" s="3">
        <v>1874</v>
      </c>
      <c r="H468" s="3">
        <v>250</v>
      </c>
      <c r="I468" s="3">
        <v>306</v>
      </c>
      <c r="J468" s="3">
        <f t="shared" si="3"/>
        <v>573444</v>
      </c>
      <c r="K468" s="4">
        <v>0.02</v>
      </c>
      <c r="L468" s="3">
        <f t="shared" si="4"/>
        <v>573558.6888</v>
      </c>
      <c r="M468" s="3">
        <f t="shared" si="5"/>
        <v>468500</v>
      </c>
    </row>
    <row r="469" spans="1:13" ht="14.25" customHeight="1" x14ac:dyDescent="0.25">
      <c r="A469" s="3">
        <v>318</v>
      </c>
      <c r="B469" s="6">
        <v>45013</v>
      </c>
      <c r="C469" s="3" t="s">
        <v>23</v>
      </c>
      <c r="D469" s="3" t="s">
        <v>17</v>
      </c>
      <c r="E469" s="3" t="s">
        <v>31</v>
      </c>
      <c r="F469" s="3" t="s">
        <v>21</v>
      </c>
      <c r="G469" s="3">
        <v>1956</v>
      </c>
      <c r="H469" s="3">
        <v>250</v>
      </c>
      <c r="I469" s="3">
        <v>293</v>
      </c>
      <c r="J469" s="3">
        <f t="shared" si="3"/>
        <v>573108</v>
      </c>
      <c r="K469" s="4">
        <v>0.13</v>
      </c>
      <c r="L469" s="3">
        <f t="shared" si="4"/>
        <v>573853.04040000006</v>
      </c>
      <c r="M469" s="3">
        <f t="shared" si="5"/>
        <v>489000</v>
      </c>
    </row>
    <row r="470" spans="1:13" ht="14.25" customHeight="1" x14ac:dyDescent="0.25">
      <c r="A470" s="3">
        <v>392</v>
      </c>
      <c r="B470" s="6">
        <v>44703</v>
      </c>
      <c r="C470" s="3" t="s">
        <v>23</v>
      </c>
      <c r="D470" s="3" t="s">
        <v>25</v>
      </c>
      <c r="E470" s="3" t="s">
        <v>31</v>
      </c>
      <c r="F470" s="3" t="s">
        <v>16</v>
      </c>
      <c r="G470" s="3">
        <v>1734</v>
      </c>
      <c r="H470" s="3">
        <v>250</v>
      </c>
      <c r="I470" s="3">
        <v>333</v>
      </c>
      <c r="J470" s="3">
        <f t="shared" si="3"/>
        <v>577422</v>
      </c>
      <c r="K470" s="4">
        <v>0.22</v>
      </c>
      <c r="L470" s="3">
        <f t="shared" si="4"/>
        <v>578692.3284</v>
      </c>
      <c r="M470" s="3">
        <f t="shared" si="5"/>
        <v>433500</v>
      </c>
    </row>
    <row r="471" spans="1:13" ht="14.25" customHeight="1" x14ac:dyDescent="0.25">
      <c r="A471" s="3">
        <v>322</v>
      </c>
      <c r="B471" s="6">
        <v>44669</v>
      </c>
      <c r="C471" s="3" t="s">
        <v>26</v>
      </c>
      <c r="D471" s="3" t="s">
        <v>17</v>
      </c>
      <c r="E471" s="3" t="s">
        <v>31</v>
      </c>
      <c r="F471" s="3" t="s">
        <v>21</v>
      </c>
      <c r="G471" s="3">
        <v>1867</v>
      </c>
      <c r="H471" s="3">
        <v>250</v>
      </c>
      <c r="I471" s="3">
        <v>314</v>
      </c>
      <c r="J471" s="3">
        <f t="shared" si="3"/>
        <v>586238</v>
      </c>
      <c r="K471" s="4">
        <v>0.12</v>
      </c>
      <c r="L471" s="3">
        <f t="shared" si="4"/>
        <v>586941.48560000001</v>
      </c>
      <c r="M471" s="3">
        <f t="shared" si="5"/>
        <v>466750</v>
      </c>
    </row>
    <row r="472" spans="1:13" ht="14.25" customHeight="1" x14ac:dyDescent="0.25">
      <c r="A472" s="3">
        <v>41</v>
      </c>
      <c r="B472" s="6">
        <v>45404</v>
      </c>
      <c r="C472" s="3" t="s">
        <v>13</v>
      </c>
      <c r="D472" s="3" t="s">
        <v>25</v>
      </c>
      <c r="E472" s="3" t="s">
        <v>32</v>
      </c>
      <c r="F472" s="3" t="s">
        <v>28</v>
      </c>
      <c r="G472" s="3">
        <v>1899</v>
      </c>
      <c r="H472" s="3">
        <v>260</v>
      </c>
      <c r="I472" s="3">
        <v>312</v>
      </c>
      <c r="J472" s="3">
        <f t="shared" si="3"/>
        <v>592488</v>
      </c>
      <c r="K472" s="4">
        <v>0</v>
      </c>
      <c r="L472" s="3">
        <f t="shared" si="4"/>
        <v>592488</v>
      </c>
      <c r="M472" s="3">
        <f t="shared" si="5"/>
        <v>493740</v>
      </c>
    </row>
    <row r="473" spans="1:13" ht="14.25" customHeight="1" x14ac:dyDescent="0.25">
      <c r="A473" s="3">
        <v>162</v>
      </c>
      <c r="B473" s="6">
        <v>46006</v>
      </c>
      <c r="C473" s="3" t="s">
        <v>13</v>
      </c>
      <c r="D473" s="3" t="s">
        <v>22</v>
      </c>
      <c r="E473" s="3" t="s">
        <v>32</v>
      </c>
      <c r="F473" s="3" t="s">
        <v>19</v>
      </c>
      <c r="G473" s="3">
        <v>1907</v>
      </c>
      <c r="H473" s="3">
        <v>260</v>
      </c>
      <c r="I473" s="3">
        <v>315</v>
      </c>
      <c r="J473" s="3">
        <f t="shared" si="3"/>
        <v>600705</v>
      </c>
      <c r="K473" s="4">
        <v>0.08</v>
      </c>
      <c r="L473" s="3">
        <f t="shared" si="4"/>
        <v>601185.56400000001</v>
      </c>
      <c r="M473" s="3">
        <f t="shared" si="5"/>
        <v>495820</v>
      </c>
    </row>
    <row r="474" spans="1:13" ht="14.25" customHeight="1" x14ac:dyDescent="0.25">
      <c r="A474" s="3">
        <v>43</v>
      </c>
      <c r="B474" s="6">
        <v>45660</v>
      </c>
      <c r="C474" s="3" t="s">
        <v>23</v>
      </c>
      <c r="D474" s="3" t="s">
        <v>17</v>
      </c>
      <c r="E474" s="3" t="s">
        <v>32</v>
      </c>
      <c r="F474" s="3" t="s">
        <v>28</v>
      </c>
      <c r="G474" s="3">
        <v>2141</v>
      </c>
      <c r="H474" s="3">
        <v>260</v>
      </c>
      <c r="I474" s="3">
        <v>291</v>
      </c>
      <c r="J474" s="3">
        <f t="shared" si="3"/>
        <v>623031</v>
      </c>
      <c r="K474" s="4">
        <v>0</v>
      </c>
      <c r="L474" s="3">
        <f t="shared" si="4"/>
        <v>623031</v>
      </c>
      <c r="M474" s="3">
        <f t="shared" si="5"/>
        <v>556660</v>
      </c>
    </row>
    <row r="475" spans="1:13" ht="14.25" customHeight="1" x14ac:dyDescent="0.25">
      <c r="A475" s="3">
        <v>397</v>
      </c>
      <c r="B475" s="6">
        <v>45951</v>
      </c>
      <c r="C475" s="3" t="s">
        <v>24</v>
      </c>
      <c r="D475" s="3" t="s">
        <v>20</v>
      </c>
      <c r="E475" s="3" t="s">
        <v>32</v>
      </c>
      <c r="F475" s="3" t="s">
        <v>16</v>
      </c>
      <c r="G475" s="3">
        <v>2157</v>
      </c>
      <c r="H475" s="3">
        <v>260</v>
      </c>
      <c r="I475" s="3">
        <v>289</v>
      </c>
      <c r="J475" s="3">
        <f t="shared" si="3"/>
        <v>623373</v>
      </c>
      <c r="K475" s="4">
        <v>0.2</v>
      </c>
      <c r="L475" s="3">
        <f t="shared" si="4"/>
        <v>624619.74600000004</v>
      </c>
      <c r="M475" s="3">
        <f t="shared" si="5"/>
        <v>560820</v>
      </c>
    </row>
    <row r="476" spans="1:13" ht="14.25" customHeight="1" x14ac:dyDescent="0.25">
      <c r="A476" s="3">
        <v>32</v>
      </c>
      <c r="B476" s="6">
        <v>45435</v>
      </c>
      <c r="C476" s="3" t="s">
        <v>26</v>
      </c>
      <c r="D476" s="3" t="s">
        <v>14</v>
      </c>
      <c r="E476" s="3" t="s">
        <v>31</v>
      </c>
      <c r="F476" s="3" t="s">
        <v>28</v>
      </c>
      <c r="G476" s="3">
        <v>2001</v>
      </c>
      <c r="H476" s="3">
        <v>250</v>
      </c>
      <c r="I476" s="3">
        <v>315</v>
      </c>
      <c r="J476" s="3">
        <f t="shared" si="3"/>
        <v>630315</v>
      </c>
      <c r="K476" s="4">
        <v>0</v>
      </c>
      <c r="L476" s="3">
        <f t="shared" si="4"/>
        <v>630315</v>
      </c>
      <c r="M476" s="3">
        <f t="shared" si="5"/>
        <v>500250</v>
      </c>
    </row>
    <row r="477" spans="1:13" ht="14.25" customHeight="1" x14ac:dyDescent="0.25">
      <c r="A477" s="3">
        <v>34</v>
      </c>
      <c r="B477" s="6">
        <v>45221</v>
      </c>
      <c r="C477" s="3" t="s">
        <v>24</v>
      </c>
      <c r="D477" s="3" t="s">
        <v>25</v>
      </c>
      <c r="E477" s="3" t="s">
        <v>31</v>
      </c>
      <c r="F477" s="3" t="s">
        <v>28</v>
      </c>
      <c r="G477" s="3">
        <v>2178</v>
      </c>
      <c r="H477" s="3">
        <v>250</v>
      </c>
      <c r="I477" s="3">
        <v>292</v>
      </c>
      <c r="J477" s="3">
        <f t="shared" si="3"/>
        <v>635976</v>
      </c>
      <c r="K477" s="4">
        <v>0</v>
      </c>
      <c r="L477" s="3">
        <f t="shared" si="4"/>
        <v>635976</v>
      </c>
      <c r="M477" s="3">
        <f t="shared" si="5"/>
        <v>544500</v>
      </c>
    </row>
    <row r="478" spans="1:13" ht="14.25" customHeight="1" x14ac:dyDescent="0.25">
      <c r="A478" s="3">
        <v>39</v>
      </c>
      <c r="B478" s="6">
        <v>44842</v>
      </c>
      <c r="C478" s="3" t="s">
        <v>23</v>
      </c>
      <c r="D478" s="3" t="s">
        <v>17</v>
      </c>
      <c r="E478" s="3" t="s">
        <v>32</v>
      </c>
      <c r="F478" s="3" t="s">
        <v>28</v>
      </c>
      <c r="G478" s="3">
        <v>1953</v>
      </c>
      <c r="H478" s="3">
        <v>260</v>
      </c>
      <c r="I478" s="3">
        <v>326</v>
      </c>
      <c r="J478" s="3">
        <f t="shared" si="3"/>
        <v>636678</v>
      </c>
      <c r="K478" s="4">
        <v>0</v>
      </c>
      <c r="L478" s="3">
        <f t="shared" si="4"/>
        <v>636678</v>
      </c>
      <c r="M478" s="3">
        <f t="shared" si="5"/>
        <v>507780</v>
      </c>
    </row>
    <row r="479" spans="1:13" ht="14.25" customHeight="1" x14ac:dyDescent="0.25">
      <c r="A479" s="3">
        <v>36</v>
      </c>
      <c r="B479" s="6">
        <v>44904</v>
      </c>
      <c r="C479" s="3" t="s">
        <v>26</v>
      </c>
      <c r="D479" s="3" t="s">
        <v>25</v>
      </c>
      <c r="E479" s="3" t="s">
        <v>31</v>
      </c>
      <c r="F479" s="3" t="s">
        <v>28</v>
      </c>
      <c r="G479" s="3">
        <v>2151</v>
      </c>
      <c r="H479" s="3">
        <v>250</v>
      </c>
      <c r="I479" s="3">
        <v>297</v>
      </c>
      <c r="J479" s="3">
        <f t="shared" si="3"/>
        <v>638847</v>
      </c>
      <c r="K479" s="4">
        <v>0</v>
      </c>
      <c r="L479" s="3">
        <f t="shared" si="4"/>
        <v>638847</v>
      </c>
      <c r="M479" s="3">
        <f t="shared" si="5"/>
        <v>537750</v>
      </c>
    </row>
    <row r="480" spans="1:13" ht="14.25" customHeight="1" x14ac:dyDescent="0.25">
      <c r="A480" s="3">
        <v>291</v>
      </c>
      <c r="B480" s="6">
        <v>45394</v>
      </c>
      <c r="C480" s="3" t="s">
        <v>26</v>
      </c>
      <c r="D480" s="3" t="s">
        <v>14</v>
      </c>
      <c r="E480" s="3" t="s">
        <v>31</v>
      </c>
      <c r="F480" s="3" t="s">
        <v>21</v>
      </c>
      <c r="G480" s="3">
        <v>2134</v>
      </c>
      <c r="H480" s="3">
        <v>250</v>
      </c>
      <c r="I480" s="3">
        <v>302</v>
      </c>
      <c r="J480" s="3">
        <f t="shared" si="3"/>
        <v>644468</v>
      </c>
      <c r="K480" s="4">
        <v>0.17</v>
      </c>
      <c r="L480" s="3">
        <f t="shared" si="4"/>
        <v>645563.5956</v>
      </c>
      <c r="M480" s="3">
        <f t="shared" si="5"/>
        <v>533500</v>
      </c>
    </row>
    <row r="481" spans="1:13" ht="14.25" customHeight="1" x14ac:dyDescent="0.25">
      <c r="A481" s="3">
        <v>109</v>
      </c>
      <c r="B481" s="6">
        <v>45103</v>
      </c>
      <c r="C481" s="3" t="s">
        <v>26</v>
      </c>
      <c r="D481" s="3" t="s">
        <v>14</v>
      </c>
      <c r="E481" s="3" t="s">
        <v>32</v>
      </c>
      <c r="F481" s="3" t="s">
        <v>19</v>
      </c>
      <c r="G481" s="3">
        <v>1916</v>
      </c>
      <c r="H481" s="3">
        <v>260</v>
      </c>
      <c r="I481" s="3">
        <v>344</v>
      </c>
      <c r="J481" s="3">
        <f t="shared" si="3"/>
        <v>659104</v>
      </c>
      <c r="K481" s="4">
        <v>0.03</v>
      </c>
      <c r="L481" s="3">
        <f t="shared" si="4"/>
        <v>659301.73120000004</v>
      </c>
      <c r="M481" s="3">
        <f t="shared" si="5"/>
        <v>498160</v>
      </c>
    </row>
    <row r="482" spans="1:13" ht="14.25" customHeight="1" x14ac:dyDescent="0.25">
      <c r="A482" s="3">
        <v>220</v>
      </c>
      <c r="B482" s="6">
        <v>44399</v>
      </c>
      <c r="C482" s="3" t="s">
        <v>29</v>
      </c>
      <c r="D482" s="3" t="s">
        <v>25</v>
      </c>
      <c r="E482" s="3" t="s">
        <v>32</v>
      </c>
      <c r="F482" s="3" t="s">
        <v>21</v>
      </c>
      <c r="G482" s="3">
        <v>1987.5</v>
      </c>
      <c r="H482" s="3">
        <v>260</v>
      </c>
      <c r="I482" s="3">
        <v>332</v>
      </c>
      <c r="J482" s="3">
        <f t="shared" si="3"/>
        <v>659850</v>
      </c>
      <c r="K482" s="4">
        <v>0.18</v>
      </c>
      <c r="L482" s="3">
        <f t="shared" si="4"/>
        <v>661037.73</v>
      </c>
      <c r="M482" s="3">
        <f t="shared" si="5"/>
        <v>516750</v>
      </c>
    </row>
    <row r="483" spans="1:13" ht="14.25" customHeight="1" x14ac:dyDescent="0.25">
      <c r="A483" s="3">
        <v>420</v>
      </c>
      <c r="B483" s="6">
        <v>44738</v>
      </c>
      <c r="C483" s="3" t="s">
        <v>29</v>
      </c>
      <c r="D483" s="3" t="s">
        <v>17</v>
      </c>
      <c r="E483" s="3" t="s">
        <v>31</v>
      </c>
      <c r="F483" s="3" t="s">
        <v>16</v>
      </c>
      <c r="G483" s="3">
        <v>2387</v>
      </c>
      <c r="H483" s="3">
        <v>250</v>
      </c>
      <c r="I483" s="3">
        <v>277</v>
      </c>
      <c r="J483" s="3">
        <f t="shared" si="3"/>
        <v>661199</v>
      </c>
      <c r="K483" s="4">
        <v>0.2</v>
      </c>
      <c r="L483" s="3">
        <f t="shared" si="4"/>
        <v>662521.39800000004</v>
      </c>
      <c r="M483" s="3">
        <f t="shared" si="5"/>
        <v>596750</v>
      </c>
    </row>
    <row r="484" spans="1:13" ht="14.25" customHeight="1" x14ac:dyDescent="0.25">
      <c r="A484" s="3">
        <v>417</v>
      </c>
      <c r="B484" s="6">
        <v>44588</v>
      </c>
      <c r="C484" s="3" t="s">
        <v>23</v>
      </c>
      <c r="D484" s="3" t="s">
        <v>14</v>
      </c>
      <c r="E484" s="3" t="s">
        <v>31</v>
      </c>
      <c r="F484" s="3" t="s">
        <v>16</v>
      </c>
      <c r="G484" s="3">
        <v>2109</v>
      </c>
      <c r="H484" s="3">
        <v>250</v>
      </c>
      <c r="I484" s="3">
        <v>316</v>
      </c>
      <c r="J484" s="3">
        <f t="shared" si="3"/>
        <v>666444</v>
      </c>
      <c r="K484" s="4">
        <v>0.21</v>
      </c>
      <c r="L484" s="3">
        <f t="shared" si="4"/>
        <v>667843.53240000003</v>
      </c>
      <c r="M484" s="3">
        <f t="shared" si="5"/>
        <v>527250</v>
      </c>
    </row>
    <row r="485" spans="1:13" ht="14.25" customHeight="1" x14ac:dyDescent="0.25">
      <c r="A485" s="3">
        <v>365</v>
      </c>
      <c r="B485" s="6">
        <v>45203</v>
      </c>
      <c r="C485" s="3" t="s">
        <v>13</v>
      </c>
      <c r="D485" s="3" t="s">
        <v>20</v>
      </c>
      <c r="E485" s="3" t="s">
        <v>32</v>
      </c>
      <c r="F485" s="3" t="s">
        <v>16</v>
      </c>
      <c r="G485" s="3">
        <v>2039</v>
      </c>
      <c r="H485" s="3">
        <v>260</v>
      </c>
      <c r="I485" s="3">
        <v>330</v>
      </c>
      <c r="J485" s="3">
        <f t="shared" si="3"/>
        <v>672870</v>
      </c>
      <c r="K485" s="4">
        <v>0.21</v>
      </c>
      <c r="L485" s="3">
        <f t="shared" si="4"/>
        <v>674283.027</v>
      </c>
      <c r="M485" s="3">
        <f t="shared" si="5"/>
        <v>530140</v>
      </c>
    </row>
    <row r="486" spans="1:13" ht="14.25" customHeight="1" x14ac:dyDescent="0.25">
      <c r="A486" s="3">
        <v>368</v>
      </c>
      <c r="B486" s="6">
        <v>45364</v>
      </c>
      <c r="C486" s="3" t="s">
        <v>24</v>
      </c>
      <c r="D486" s="3" t="s">
        <v>25</v>
      </c>
      <c r="E486" s="3" t="s">
        <v>32</v>
      </c>
      <c r="F486" s="3" t="s">
        <v>16</v>
      </c>
      <c r="G486" s="3">
        <v>2072</v>
      </c>
      <c r="H486" s="3">
        <v>260</v>
      </c>
      <c r="I486" s="3">
        <v>337</v>
      </c>
      <c r="J486" s="3">
        <f t="shared" si="3"/>
        <v>698264</v>
      </c>
      <c r="K486" s="4">
        <v>0.2</v>
      </c>
      <c r="L486" s="3">
        <f t="shared" si="4"/>
        <v>699660.52800000005</v>
      </c>
      <c r="M486" s="3">
        <f t="shared" si="5"/>
        <v>538720</v>
      </c>
    </row>
    <row r="487" spans="1:13" ht="14.25" customHeight="1" x14ac:dyDescent="0.25">
      <c r="A487" s="3">
        <v>360</v>
      </c>
      <c r="B487" s="6">
        <v>45781</v>
      </c>
      <c r="C487" s="3" t="s">
        <v>29</v>
      </c>
      <c r="D487" s="3" t="s">
        <v>14</v>
      </c>
      <c r="E487" s="3" t="s">
        <v>31</v>
      </c>
      <c r="F487" s="3" t="s">
        <v>16</v>
      </c>
      <c r="G487" s="3">
        <v>2529</v>
      </c>
      <c r="H487" s="3">
        <v>250</v>
      </c>
      <c r="I487" s="3">
        <v>277</v>
      </c>
      <c r="J487" s="3">
        <f t="shared" si="3"/>
        <v>700533</v>
      </c>
      <c r="K487" s="4">
        <v>0.2</v>
      </c>
      <c r="L487" s="3">
        <f t="shared" si="4"/>
        <v>701934.06599999999</v>
      </c>
      <c r="M487" s="3">
        <f t="shared" si="5"/>
        <v>632250</v>
      </c>
    </row>
    <row r="488" spans="1:13" ht="14.25" customHeight="1" x14ac:dyDescent="0.25">
      <c r="A488" s="3">
        <v>167</v>
      </c>
      <c r="B488" s="6">
        <v>45955</v>
      </c>
      <c r="C488" s="3" t="s">
        <v>13</v>
      </c>
      <c r="D488" s="3" t="s">
        <v>20</v>
      </c>
      <c r="E488" s="3" t="s">
        <v>31</v>
      </c>
      <c r="F488" s="3" t="s">
        <v>21</v>
      </c>
      <c r="G488" s="3">
        <v>2689</v>
      </c>
      <c r="H488" s="3">
        <v>250</v>
      </c>
      <c r="I488" s="3">
        <v>263</v>
      </c>
      <c r="J488" s="3">
        <f t="shared" si="3"/>
        <v>707207</v>
      </c>
      <c r="K488" s="4">
        <v>0.16</v>
      </c>
      <c r="L488" s="3">
        <f t="shared" si="4"/>
        <v>708338.53119999997</v>
      </c>
      <c r="M488" s="3">
        <f t="shared" si="5"/>
        <v>672250</v>
      </c>
    </row>
    <row r="489" spans="1:13" ht="14.25" customHeight="1" x14ac:dyDescent="0.25">
      <c r="A489" s="3">
        <v>362</v>
      </c>
      <c r="B489" s="6">
        <v>45936</v>
      </c>
      <c r="C489" s="3" t="s">
        <v>13</v>
      </c>
      <c r="D489" s="3" t="s">
        <v>14</v>
      </c>
      <c r="E489" s="3" t="s">
        <v>32</v>
      </c>
      <c r="F489" s="3" t="s">
        <v>16</v>
      </c>
      <c r="G489" s="3">
        <v>2240</v>
      </c>
      <c r="H489" s="3">
        <v>260</v>
      </c>
      <c r="I489" s="3">
        <v>316</v>
      </c>
      <c r="J489" s="3">
        <f t="shared" si="3"/>
        <v>707840</v>
      </c>
      <c r="K489" s="4">
        <v>0.24</v>
      </c>
      <c r="L489" s="3">
        <f t="shared" si="4"/>
        <v>709538.81599999999</v>
      </c>
      <c r="M489" s="3">
        <f t="shared" si="5"/>
        <v>582400</v>
      </c>
    </row>
    <row r="490" spans="1:13" ht="14.25" customHeight="1" x14ac:dyDescent="0.25">
      <c r="A490" s="3">
        <v>136</v>
      </c>
      <c r="B490" s="6">
        <v>45178</v>
      </c>
      <c r="C490" s="3" t="s">
        <v>23</v>
      </c>
      <c r="D490" s="3" t="s">
        <v>22</v>
      </c>
      <c r="E490" s="3" t="s">
        <v>31</v>
      </c>
      <c r="F490" s="3" t="s">
        <v>19</v>
      </c>
      <c r="G490" s="3">
        <v>2479</v>
      </c>
      <c r="H490" s="3">
        <v>250</v>
      </c>
      <c r="I490" s="3">
        <v>287</v>
      </c>
      <c r="J490" s="3">
        <f t="shared" si="3"/>
        <v>711473</v>
      </c>
      <c r="K490" s="4">
        <v>0.02</v>
      </c>
      <c r="L490" s="3">
        <f t="shared" si="4"/>
        <v>711615.29460000002</v>
      </c>
      <c r="M490" s="3">
        <f t="shared" si="5"/>
        <v>619750</v>
      </c>
    </row>
    <row r="491" spans="1:13" ht="14.25" customHeight="1" x14ac:dyDescent="0.25">
      <c r="A491" s="3">
        <v>325</v>
      </c>
      <c r="B491" s="6">
        <v>44443</v>
      </c>
      <c r="C491" s="3" t="s">
        <v>13</v>
      </c>
      <c r="D491" s="3" t="s">
        <v>17</v>
      </c>
      <c r="E491" s="3" t="s">
        <v>32</v>
      </c>
      <c r="F491" s="3" t="s">
        <v>21</v>
      </c>
      <c r="G491" s="3">
        <v>2071</v>
      </c>
      <c r="H491" s="3">
        <v>260</v>
      </c>
      <c r="I491" s="3">
        <v>345</v>
      </c>
      <c r="J491" s="3">
        <f t="shared" si="3"/>
        <v>714495</v>
      </c>
      <c r="K491" s="4">
        <v>0.11</v>
      </c>
      <c r="L491" s="3">
        <f t="shared" si="4"/>
        <v>715280.94449999998</v>
      </c>
      <c r="M491" s="3">
        <f t="shared" si="5"/>
        <v>538460</v>
      </c>
    </row>
    <row r="492" spans="1:13" ht="14.25" customHeight="1" x14ac:dyDescent="0.25">
      <c r="A492" s="3">
        <v>159</v>
      </c>
      <c r="B492" s="6">
        <v>46022</v>
      </c>
      <c r="C492" s="3" t="s">
        <v>13</v>
      </c>
      <c r="D492" s="3" t="s">
        <v>25</v>
      </c>
      <c r="E492" s="3" t="s">
        <v>31</v>
      </c>
      <c r="F492" s="3" t="s">
        <v>19</v>
      </c>
      <c r="G492" s="3">
        <v>2177</v>
      </c>
      <c r="H492" s="3">
        <v>250</v>
      </c>
      <c r="I492" s="3">
        <v>333</v>
      </c>
      <c r="J492" s="3">
        <f t="shared" si="3"/>
        <v>724941</v>
      </c>
      <c r="K492" s="4">
        <v>0.09</v>
      </c>
      <c r="L492" s="3">
        <f t="shared" si="4"/>
        <v>725593.44689999998</v>
      </c>
      <c r="M492" s="3">
        <f t="shared" si="5"/>
        <v>544250</v>
      </c>
    </row>
    <row r="493" spans="1:13" ht="14.25" customHeight="1" x14ac:dyDescent="0.25">
      <c r="A493" s="3">
        <v>288</v>
      </c>
      <c r="B493" s="6">
        <v>44748</v>
      </c>
      <c r="C493" s="3" t="s">
        <v>13</v>
      </c>
      <c r="D493" s="3" t="s">
        <v>22</v>
      </c>
      <c r="E493" s="3" t="s">
        <v>31</v>
      </c>
      <c r="F493" s="3" t="s">
        <v>21</v>
      </c>
      <c r="G493" s="3">
        <v>2338</v>
      </c>
      <c r="H493" s="3">
        <v>250</v>
      </c>
      <c r="I493" s="3">
        <v>323</v>
      </c>
      <c r="J493" s="3">
        <f t="shared" si="3"/>
        <v>755174</v>
      </c>
      <c r="K493" s="4">
        <v>0.14000000000000001</v>
      </c>
      <c r="L493" s="3">
        <f t="shared" si="4"/>
        <v>756231.24360000005</v>
      </c>
      <c r="M493" s="3">
        <f t="shared" si="5"/>
        <v>584500</v>
      </c>
    </row>
    <row r="494" spans="1:13" ht="14.25" customHeight="1" x14ac:dyDescent="0.25">
      <c r="A494" s="3">
        <v>491</v>
      </c>
      <c r="B494" s="6">
        <v>45613</v>
      </c>
      <c r="C494" s="3" t="s">
        <v>26</v>
      </c>
      <c r="D494" s="3" t="s">
        <v>17</v>
      </c>
      <c r="E494" s="3" t="s">
        <v>31</v>
      </c>
      <c r="F494" s="3" t="s">
        <v>16</v>
      </c>
      <c r="G494" s="3">
        <v>2541</v>
      </c>
      <c r="H494" s="3">
        <v>250</v>
      </c>
      <c r="I494" s="3">
        <v>302</v>
      </c>
      <c r="J494" s="3">
        <f t="shared" si="3"/>
        <v>767382</v>
      </c>
      <c r="K494" s="4">
        <v>0.25</v>
      </c>
      <c r="L494" s="3">
        <f t="shared" si="4"/>
        <v>769300.45499999996</v>
      </c>
      <c r="M494" s="3">
        <f t="shared" si="5"/>
        <v>635250</v>
      </c>
    </row>
    <row r="495" spans="1:13" ht="14.25" customHeight="1" x14ac:dyDescent="0.25">
      <c r="A495" s="3">
        <v>395</v>
      </c>
      <c r="B495" s="6">
        <v>44220</v>
      </c>
      <c r="C495" s="3" t="s">
        <v>13</v>
      </c>
      <c r="D495" s="3" t="s">
        <v>20</v>
      </c>
      <c r="E495" s="3" t="s">
        <v>32</v>
      </c>
      <c r="F495" s="3" t="s">
        <v>16</v>
      </c>
      <c r="G495" s="3">
        <v>2629</v>
      </c>
      <c r="H495" s="3">
        <v>260</v>
      </c>
      <c r="I495" s="3">
        <v>294</v>
      </c>
      <c r="J495" s="3">
        <f t="shared" si="3"/>
        <v>772926</v>
      </c>
      <c r="K495" s="4">
        <v>0.25</v>
      </c>
      <c r="L495" s="3">
        <f t="shared" si="4"/>
        <v>774858.31499999994</v>
      </c>
      <c r="M495" s="3">
        <f t="shared" si="5"/>
        <v>683540</v>
      </c>
    </row>
    <row r="496" spans="1:13" ht="14.25" customHeight="1" x14ac:dyDescent="0.25">
      <c r="A496" s="3">
        <v>106</v>
      </c>
      <c r="B496" s="6">
        <v>44320</v>
      </c>
      <c r="C496" s="3" t="s">
        <v>29</v>
      </c>
      <c r="D496" s="3" t="s">
        <v>22</v>
      </c>
      <c r="E496" s="3" t="s">
        <v>32</v>
      </c>
      <c r="F496" s="3" t="s">
        <v>19</v>
      </c>
      <c r="G496" s="3">
        <v>2276</v>
      </c>
      <c r="H496" s="3">
        <v>260</v>
      </c>
      <c r="I496" s="3">
        <v>344</v>
      </c>
      <c r="J496" s="3">
        <f t="shared" si="3"/>
        <v>782944</v>
      </c>
      <c r="K496" s="4">
        <v>7.0000000000000007E-2</v>
      </c>
      <c r="L496" s="3">
        <f t="shared" si="4"/>
        <v>783492.06079999998</v>
      </c>
      <c r="M496" s="3">
        <f t="shared" si="5"/>
        <v>591760</v>
      </c>
    </row>
    <row r="497" spans="1:13" ht="14.25" customHeight="1" x14ac:dyDescent="0.25">
      <c r="A497" s="3">
        <v>200</v>
      </c>
      <c r="B497" s="6">
        <v>45271</v>
      </c>
      <c r="C497" s="3" t="s">
        <v>13</v>
      </c>
      <c r="D497" s="3" t="s">
        <v>25</v>
      </c>
      <c r="E497" s="3" t="s">
        <v>31</v>
      </c>
      <c r="F497" s="3" t="s">
        <v>21</v>
      </c>
      <c r="G497" s="3">
        <v>2487</v>
      </c>
      <c r="H497" s="3">
        <v>250</v>
      </c>
      <c r="I497" s="3">
        <v>317</v>
      </c>
      <c r="J497" s="3">
        <f t="shared" si="3"/>
        <v>788379</v>
      </c>
      <c r="K497" s="4">
        <v>0.15</v>
      </c>
      <c r="L497" s="3">
        <f t="shared" si="4"/>
        <v>789561.56850000005</v>
      </c>
      <c r="M497" s="3">
        <f t="shared" si="5"/>
        <v>621750</v>
      </c>
    </row>
    <row r="498" spans="1:13" ht="14.25" customHeight="1" x14ac:dyDescent="0.25">
      <c r="A498" s="3">
        <v>521</v>
      </c>
      <c r="B498" s="6">
        <v>45981</v>
      </c>
      <c r="C498" s="3" t="s">
        <v>26</v>
      </c>
      <c r="D498" s="3" t="s">
        <v>25</v>
      </c>
      <c r="E498" s="3" t="s">
        <v>32</v>
      </c>
      <c r="F498" s="3" t="s">
        <v>16</v>
      </c>
      <c r="G498" s="3">
        <v>2475</v>
      </c>
      <c r="H498" s="3">
        <v>260</v>
      </c>
      <c r="I498" s="3">
        <v>320</v>
      </c>
      <c r="J498" s="3">
        <f t="shared" si="3"/>
        <v>792000</v>
      </c>
      <c r="K498" s="4">
        <v>0.25</v>
      </c>
      <c r="L498" s="3">
        <f t="shared" si="4"/>
        <v>793980</v>
      </c>
      <c r="M498" s="3">
        <f t="shared" si="5"/>
        <v>643500</v>
      </c>
    </row>
    <row r="499" spans="1:13" ht="14.25" customHeight="1" x14ac:dyDescent="0.25">
      <c r="A499" s="3">
        <v>258</v>
      </c>
      <c r="B499" s="6">
        <v>45660</v>
      </c>
      <c r="C499" s="3" t="s">
        <v>13</v>
      </c>
      <c r="D499" s="3" t="s">
        <v>25</v>
      </c>
      <c r="E499" s="3" t="s">
        <v>32</v>
      </c>
      <c r="F499" s="3" t="s">
        <v>21</v>
      </c>
      <c r="G499" s="3">
        <v>2876</v>
      </c>
      <c r="H499" s="3">
        <v>260</v>
      </c>
      <c r="I499" s="3">
        <v>281</v>
      </c>
      <c r="J499" s="3">
        <f t="shared" si="3"/>
        <v>808156</v>
      </c>
      <c r="K499" s="4">
        <v>0.15</v>
      </c>
      <c r="L499" s="3">
        <f t="shared" si="4"/>
        <v>809368.23400000005</v>
      </c>
      <c r="M499" s="3">
        <f t="shared" si="5"/>
        <v>747760</v>
      </c>
    </row>
    <row r="500" spans="1:13" ht="14.25" customHeight="1" x14ac:dyDescent="0.25">
      <c r="A500" s="3">
        <v>256</v>
      </c>
      <c r="B500" s="6">
        <v>44622</v>
      </c>
      <c r="C500" s="3" t="s">
        <v>26</v>
      </c>
      <c r="D500" s="3" t="s">
        <v>20</v>
      </c>
      <c r="E500" s="3" t="s">
        <v>31</v>
      </c>
      <c r="F500" s="3" t="s">
        <v>21</v>
      </c>
      <c r="G500" s="3">
        <v>2747</v>
      </c>
      <c r="H500" s="3">
        <v>250</v>
      </c>
      <c r="I500" s="3">
        <v>295</v>
      </c>
      <c r="J500" s="3">
        <f t="shared" si="3"/>
        <v>810365</v>
      </c>
      <c r="K500" s="4">
        <v>0.18</v>
      </c>
      <c r="L500" s="3">
        <f t="shared" si="4"/>
        <v>811823.65700000001</v>
      </c>
      <c r="M500" s="3">
        <f t="shared" si="5"/>
        <v>686750</v>
      </c>
    </row>
    <row r="501" spans="1:13" ht="14.25" customHeight="1" x14ac:dyDescent="0.25">
      <c r="A501" s="3">
        <v>496</v>
      </c>
      <c r="B501" s="6">
        <v>44485</v>
      </c>
      <c r="C501" s="3" t="s">
        <v>23</v>
      </c>
      <c r="D501" s="3" t="s">
        <v>25</v>
      </c>
      <c r="E501" s="3" t="s">
        <v>32</v>
      </c>
      <c r="F501" s="3" t="s">
        <v>16</v>
      </c>
      <c r="G501" s="3">
        <v>2475</v>
      </c>
      <c r="H501" s="3">
        <v>260</v>
      </c>
      <c r="I501" s="3">
        <v>328</v>
      </c>
      <c r="J501" s="3">
        <f t="shared" si="3"/>
        <v>811800</v>
      </c>
      <c r="K501" s="4">
        <v>0.24</v>
      </c>
      <c r="L501" s="3">
        <f t="shared" si="4"/>
        <v>813748.32</v>
      </c>
      <c r="M501" s="3">
        <f t="shared" si="5"/>
        <v>643500</v>
      </c>
    </row>
    <row r="502" spans="1:13" ht="14.25" customHeight="1" x14ac:dyDescent="0.25">
      <c r="A502" s="3">
        <v>295</v>
      </c>
      <c r="B502" s="6">
        <v>45767</v>
      </c>
      <c r="C502" s="3" t="s">
        <v>26</v>
      </c>
      <c r="D502" s="3" t="s">
        <v>20</v>
      </c>
      <c r="E502" s="3" t="s">
        <v>32</v>
      </c>
      <c r="F502" s="3" t="s">
        <v>21</v>
      </c>
      <c r="G502" s="3">
        <v>2460</v>
      </c>
      <c r="H502" s="3">
        <v>260</v>
      </c>
      <c r="I502" s="3">
        <v>332</v>
      </c>
      <c r="J502" s="3">
        <f t="shared" si="3"/>
        <v>816720</v>
      </c>
      <c r="K502" s="4">
        <v>0.11</v>
      </c>
      <c r="L502" s="3">
        <f t="shared" si="4"/>
        <v>817618.39199999999</v>
      </c>
      <c r="M502" s="3">
        <f t="shared" si="5"/>
        <v>639600</v>
      </c>
    </row>
    <row r="503" spans="1:13" ht="14.25" customHeight="1" x14ac:dyDescent="0.25">
      <c r="A503" s="3">
        <v>495</v>
      </c>
      <c r="B503" s="6">
        <v>44204</v>
      </c>
      <c r="C503" s="3" t="s">
        <v>29</v>
      </c>
      <c r="D503" s="3" t="s">
        <v>17</v>
      </c>
      <c r="E503" s="3" t="s">
        <v>32</v>
      </c>
      <c r="F503" s="3" t="s">
        <v>16</v>
      </c>
      <c r="G503" s="3">
        <v>2844</v>
      </c>
      <c r="H503" s="3">
        <v>260</v>
      </c>
      <c r="I503" s="3">
        <v>289</v>
      </c>
      <c r="J503" s="3">
        <f t="shared" si="3"/>
        <v>821916</v>
      </c>
      <c r="K503" s="4">
        <v>0.2</v>
      </c>
      <c r="L503" s="3">
        <f t="shared" si="4"/>
        <v>823559.83200000005</v>
      </c>
      <c r="M503" s="3">
        <f t="shared" si="5"/>
        <v>739440</v>
      </c>
    </row>
    <row r="504" spans="1:13" ht="14.25" customHeight="1" x14ac:dyDescent="0.25">
      <c r="A504" s="3">
        <v>103</v>
      </c>
      <c r="B504" s="6">
        <v>45845</v>
      </c>
      <c r="C504" s="3" t="s">
        <v>29</v>
      </c>
      <c r="D504" s="3" t="s">
        <v>14</v>
      </c>
      <c r="E504" s="3" t="s">
        <v>31</v>
      </c>
      <c r="F504" s="3" t="s">
        <v>19</v>
      </c>
      <c r="G504" s="3">
        <v>2729</v>
      </c>
      <c r="H504" s="3">
        <v>250</v>
      </c>
      <c r="I504" s="3">
        <v>302</v>
      </c>
      <c r="J504" s="3">
        <f t="shared" si="3"/>
        <v>824158</v>
      </c>
      <c r="K504" s="4">
        <v>0.03</v>
      </c>
      <c r="L504" s="3">
        <f t="shared" si="4"/>
        <v>824405.24739999999</v>
      </c>
      <c r="M504" s="3">
        <f t="shared" si="5"/>
        <v>682250</v>
      </c>
    </row>
    <row r="505" spans="1:13" ht="14.25" customHeight="1" x14ac:dyDescent="0.25">
      <c r="A505" s="3">
        <v>431</v>
      </c>
      <c r="B505" s="6">
        <v>45623</v>
      </c>
      <c r="C505" s="3" t="s">
        <v>24</v>
      </c>
      <c r="D505" s="3" t="s">
        <v>17</v>
      </c>
      <c r="E505" s="3" t="s">
        <v>31</v>
      </c>
      <c r="F505" s="3" t="s">
        <v>16</v>
      </c>
      <c r="G505" s="3">
        <v>2567</v>
      </c>
      <c r="H505" s="3">
        <v>250</v>
      </c>
      <c r="I505" s="3">
        <v>324</v>
      </c>
      <c r="J505" s="3">
        <f t="shared" si="3"/>
        <v>831708</v>
      </c>
      <c r="K505" s="4">
        <v>0.2</v>
      </c>
      <c r="L505" s="3">
        <f t="shared" si="4"/>
        <v>833371.41599999997</v>
      </c>
      <c r="M505" s="3">
        <f t="shared" si="5"/>
        <v>641750</v>
      </c>
    </row>
    <row r="506" spans="1:13" ht="14.25" customHeight="1" x14ac:dyDescent="0.25">
      <c r="A506" s="3">
        <v>363</v>
      </c>
      <c r="B506" s="6">
        <v>44289</v>
      </c>
      <c r="C506" s="3" t="s">
        <v>26</v>
      </c>
      <c r="D506" s="3" t="s">
        <v>17</v>
      </c>
      <c r="E506" s="3" t="s">
        <v>32</v>
      </c>
      <c r="F506" s="3" t="s">
        <v>16</v>
      </c>
      <c r="G506" s="3">
        <v>2993</v>
      </c>
      <c r="H506" s="3">
        <v>260</v>
      </c>
      <c r="I506" s="3">
        <v>281</v>
      </c>
      <c r="J506" s="3">
        <f t="shared" si="3"/>
        <v>841033</v>
      </c>
      <c r="K506" s="4">
        <v>0.2</v>
      </c>
      <c r="L506" s="3">
        <f t="shared" si="4"/>
        <v>842715.06599999999</v>
      </c>
      <c r="M506" s="3">
        <f t="shared" si="5"/>
        <v>778180</v>
      </c>
    </row>
    <row r="507" spans="1:13" ht="14.25" customHeight="1" x14ac:dyDescent="0.25">
      <c r="A507" s="3">
        <v>366</v>
      </c>
      <c r="B507" s="6">
        <v>45946</v>
      </c>
      <c r="C507" s="3" t="s">
        <v>23</v>
      </c>
      <c r="D507" s="3" t="s">
        <v>22</v>
      </c>
      <c r="E507" s="3" t="s">
        <v>32</v>
      </c>
      <c r="F507" s="3" t="s">
        <v>16</v>
      </c>
      <c r="G507" s="3">
        <v>2574</v>
      </c>
      <c r="H507" s="3">
        <v>260</v>
      </c>
      <c r="I507" s="3">
        <v>329</v>
      </c>
      <c r="J507" s="3">
        <f t="shared" si="3"/>
        <v>846846</v>
      </c>
      <c r="K507" s="4">
        <v>0.21</v>
      </c>
      <c r="L507" s="3">
        <f t="shared" si="4"/>
        <v>848624.37659999996</v>
      </c>
      <c r="M507" s="3">
        <f t="shared" si="5"/>
        <v>669240</v>
      </c>
    </row>
    <row r="508" spans="1:13" ht="14.25" customHeight="1" x14ac:dyDescent="0.25">
      <c r="A508" s="3">
        <v>129</v>
      </c>
      <c r="B508" s="6">
        <v>44301</v>
      </c>
      <c r="C508" s="3" t="s">
        <v>26</v>
      </c>
      <c r="D508" s="3" t="s">
        <v>17</v>
      </c>
      <c r="E508" s="3" t="s">
        <v>31</v>
      </c>
      <c r="F508" s="3" t="s">
        <v>19</v>
      </c>
      <c r="G508" s="3">
        <v>2844</v>
      </c>
      <c r="H508" s="3">
        <v>250</v>
      </c>
      <c r="I508" s="3">
        <v>302</v>
      </c>
      <c r="J508" s="3">
        <f t="shared" si="3"/>
        <v>858888</v>
      </c>
      <c r="K508" s="4">
        <v>7.0000000000000007E-2</v>
      </c>
      <c r="L508" s="3">
        <f t="shared" si="4"/>
        <v>859489.22160000005</v>
      </c>
      <c r="M508" s="3">
        <f t="shared" si="5"/>
        <v>711000</v>
      </c>
    </row>
    <row r="509" spans="1:13" ht="14.25" customHeight="1" x14ac:dyDescent="0.25">
      <c r="A509" s="3">
        <v>198</v>
      </c>
      <c r="B509" s="6">
        <v>44793</v>
      </c>
      <c r="C509" s="3" t="s">
        <v>13</v>
      </c>
      <c r="D509" s="3" t="s">
        <v>17</v>
      </c>
      <c r="E509" s="3" t="s">
        <v>31</v>
      </c>
      <c r="F509" s="3" t="s">
        <v>21</v>
      </c>
      <c r="G509" s="3">
        <v>2663</v>
      </c>
      <c r="H509" s="3">
        <v>250</v>
      </c>
      <c r="I509" s="3">
        <v>325</v>
      </c>
      <c r="J509" s="3">
        <f t="shared" si="3"/>
        <v>865475</v>
      </c>
      <c r="K509" s="4">
        <v>0.18</v>
      </c>
      <c r="L509" s="3">
        <f t="shared" si="4"/>
        <v>867032.85499999998</v>
      </c>
      <c r="M509" s="3">
        <f t="shared" si="5"/>
        <v>665750</v>
      </c>
    </row>
    <row r="510" spans="1:13" ht="14.25" customHeight="1" x14ac:dyDescent="0.25">
      <c r="A510" s="3">
        <v>218</v>
      </c>
      <c r="B510" s="6">
        <v>44625</v>
      </c>
      <c r="C510" s="3" t="s">
        <v>24</v>
      </c>
      <c r="D510" s="3" t="s">
        <v>14</v>
      </c>
      <c r="E510" s="3" t="s">
        <v>31</v>
      </c>
      <c r="F510" s="3" t="s">
        <v>21</v>
      </c>
      <c r="G510" s="3">
        <v>2844</v>
      </c>
      <c r="H510" s="3">
        <v>250</v>
      </c>
      <c r="I510" s="3">
        <v>308</v>
      </c>
      <c r="J510" s="3">
        <f t="shared" si="3"/>
        <v>875952</v>
      </c>
      <c r="K510" s="4">
        <v>0.14000000000000001</v>
      </c>
      <c r="L510" s="3">
        <f t="shared" si="4"/>
        <v>877178.33279999997</v>
      </c>
      <c r="M510" s="3">
        <f t="shared" si="5"/>
        <v>711000</v>
      </c>
    </row>
    <row r="511" spans="1:13" ht="14.25" customHeight="1" x14ac:dyDescent="0.25">
      <c r="A511" s="3">
        <v>254</v>
      </c>
      <c r="B511" s="6">
        <v>46000</v>
      </c>
      <c r="C511" s="3" t="s">
        <v>23</v>
      </c>
      <c r="D511" s="3" t="s">
        <v>14</v>
      </c>
      <c r="E511" s="3" t="s">
        <v>31</v>
      </c>
      <c r="F511" s="3" t="s">
        <v>21</v>
      </c>
      <c r="G511" s="3">
        <v>3244.5</v>
      </c>
      <c r="H511" s="3">
        <v>250</v>
      </c>
      <c r="I511" s="3">
        <v>270</v>
      </c>
      <c r="J511" s="3">
        <f t="shared" si="3"/>
        <v>876015</v>
      </c>
      <c r="K511" s="4">
        <v>0.15</v>
      </c>
      <c r="L511" s="3">
        <f t="shared" si="4"/>
        <v>877329.02249999996</v>
      </c>
      <c r="M511" s="3">
        <f t="shared" si="5"/>
        <v>811125</v>
      </c>
    </row>
    <row r="512" spans="1:13" ht="14.25" customHeight="1" x14ac:dyDescent="0.25">
      <c r="A512" s="3">
        <v>319</v>
      </c>
      <c r="B512" s="6">
        <v>45338</v>
      </c>
      <c r="C512" s="3" t="s">
        <v>26</v>
      </c>
      <c r="D512" s="3" t="s">
        <v>22</v>
      </c>
      <c r="E512" s="3" t="s">
        <v>31</v>
      </c>
      <c r="F512" s="3" t="s">
        <v>21</v>
      </c>
      <c r="G512" s="3">
        <v>2659</v>
      </c>
      <c r="H512" s="3">
        <v>250</v>
      </c>
      <c r="I512" s="3">
        <v>330</v>
      </c>
      <c r="J512" s="3">
        <f t="shared" ref="J512:J526" si="6">G512*I512</f>
        <v>877470</v>
      </c>
      <c r="K512" s="4">
        <v>0.15</v>
      </c>
      <c r="L512" s="3">
        <f t="shared" ref="L512:L526" si="7">J512+(J512*K512)/100</f>
        <v>878786.20499999996</v>
      </c>
      <c r="M512" s="3">
        <f t="shared" ref="M512:M526" si="8">G512*H512</f>
        <v>664750</v>
      </c>
    </row>
    <row r="513" spans="1:13" ht="14.25" customHeight="1" x14ac:dyDescent="0.25">
      <c r="A513" s="3">
        <v>33</v>
      </c>
      <c r="B513" s="6">
        <v>44245</v>
      </c>
      <c r="C513" s="3" t="s">
        <v>23</v>
      </c>
      <c r="D513" s="3" t="s">
        <v>22</v>
      </c>
      <c r="E513" s="3" t="s">
        <v>31</v>
      </c>
      <c r="F513" s="3" t="s">
        <v>28</v>
      </c>
      <c r="G513" s="3">
        <v>2838</v>
      </c>
      <c r="H513" s="3">
        <v>250</v>
      </c>
      <c r="I513" s="3">
        <v>310</v>
      </c>
      <c r="J513" s="3">
        <f t="shared" si="6"/>
        <v>879780</v>
      </c>
      <c r="K513" s="4">
        <v>0</v>
      </c>
      <c r="L513" s="3">
        <f t="shared" si="7"/>
        <v>879780</v>
      </c>
      <c r="M513" s="3">
        <f t="shared" si="8"/>
        <v>709500</v>
      </c>
    </row>
    <row r="514" spans="1:13" ht="14.25" customHeight="1" x14ac:dyDescent="0.25">
      <c r="A514" s="3">
        <v>497</v>
      </c>
      <c r="B514" s="6">
        <v>45433</v>
      </c>
      <c r="C514" s="3" t="s">
        <v>23</v>
      </c>
      <c r="D514" s="3" t="s">
        <v>17</v>
      </c>
      <c r="E514" s="3" t="s">
        <v>32</v>
      </c>
      <c r="F514" s="3" t="s">
        <v>16</v>
      </c>
      <c r="G514" s="3">
        <v>2914</v>
      </c>
      <c r="H514" s="3">
        <v>260</v>
      </c>
      <c r="I514" s="3">
        <v>310</v>
      </c>
      <c r="J514" s="3">
        <f t="shared" si="6"/>
        <v>903340</v>
      </c>
      <c r="K514" s="4">
        <v>0.22</v>
      </c>
      <c r="L514" s="3">
        <f t="shared" si="7"/>
        <v>905327.348</v>
      </c>
      <c r="M514" s="3">
        <f t="shared" si="8"/>
        <v>757640</v>
      </c>
    </row>
    <row r="515" spans="1:13" ht="14.25" customHeight="1" x14ac:dyDescent="0.25">
      <c r="A515" s="3">
        <v>358</v>
      </c>
      <c r="B515" s="6">
        <v>45761</v>
      </c>
      <c r="C515" s="3" t="s">
        <v>13</v>
      </c>
      <c r="D515" s="3" t="s">
        <v>17</v>
      </c>
      <c r="E515" s="3" t="s">
        <v>31</v>
      </c>
      <c r="F515" s="3" t="s">
        <v>16</v>
      </c>
      <c r="G515" s="3">
        <v>2807</v>
      </c>
      <c r="H515" s="3">
        <v>250</v>
      </c>
      <c r="I515" s="3">
        <v>327</v>
      </c>
      <c r="J515" s="3">
        <f t="shared" si="6"/>
        <v>917889</v>
      </c>
      <c r="K515" s="4">
        <v>0.2</v>
      </c>
      <c r="L515" s="3">
        <f t="shared" si="7"/>
        <v>919724.77800000005</v>
      </c>
      <c r="M515" s="3">
        <f t="shared" si="8"/>
        <v>701750</v>
      </c>
    </row>
    <row r="516" spans="1:13" ht="14.25" customHeight="1" x14ac:dyDescent="0.25">
      <c r="A516" s="3">
        <v>374</v>
      </c>
      <c r="B516" s="6">
        <v>44667</v>
      </c>
      <c r="C516" s="3" t="s">
        <v>24</v>
      </c>
      <c r="D516" s="3" t="s">
        <v>17</v>
      </c>
      <c r="E516" s="3" t="s">
        <v>32</v>
      </c>
      <c r="F516" s="3" t="s">
        <v>16</v>
      </c>
      <c r="G516" s="3">
        <v>3199.5</v>
      </c>
      <c r="H516" s="3">
        <v>260</v>
      </c>
      <c r="I516" s="3">
        <v>287</v>
      </c>
      <c r="J516" s="3">
        <f t="shared" si="6"/>
        <v>918256.5</v>
      </c>
      <c r="K516" s="4">
        <v>0.22</v>
      </c>
      <c r="L516" s="3">
        <f t="shared" si="7"/>
        <v>920276.66429999995</v>
      </c>
      <c r="M516" s="3">
        <f t="shared" si="8"/>
        <v>831870</v>
      </c>
    </row>
    <row r="517" spans="1:13" ht="14.25" customHeight="1" x14ac:dyDescent="0.25">
      <c r="A517" s="3">
        <v>293</v>
      </c>
      <c r="B517" s="6">
        <v>44971</v>
      </c>
      <c r="C517" s="3" t="s">
        <v>13</v>
      </c>
      <c r="D517" s="3" t="s">
        <v>17</v>
      </c>
      <c r="E517" s="3" t="s">
        <v>32</v>
      </c>
      <c r="F517" s="3" t="s">
        <v>21</v>
      </c>
      <c r="G517" s="3">
        <v>2907</v>
      </c>
      <c r="H517" s="3">
        <v>260</v>
      </c>
      <c r="I517" s="3">
        <v>323</v>
      </c>
      <c r="J517" s="3">
        <f t="shared" si="6"/>
        <v>938961</v>
      </c>
      <c r="K517" s="4">
        <v>0.15</v>
      </c>
      <c r="L517" s="3">
        <f t="shared" si="7"/>
        <v>940369.44149999996</v>
      </c>
      <c r="M517" s="3">
        <f t="shared" si="8"/>
        <v>755820</v>
      </c>
    </row>
    <row r="518" spans="1:13" ht="14.25" customHeight="1" x14ac:dyDescent="0.25">
      <c r="A518" s="3">
        <v>102</v>
      </c>
      <c r="B518" s="6">
        <v>44515</v>
      </c>
      <c r="C518" s="3" t="s">
        <v>13</v>
      </c>
      <c r="D518" s="3" t="s">
        <v>22</v>
      </c>
      <c r="E518" s="3" t="s">
        <v>31</v>
      </c>
      <c r="F518" s="3" t="s">
        <v>19</v>
      </c>
      <c r="G518" s="3">
        <v>2877</v>
      </c>
      <c r="H518" s="3">
        <v>250</v>
      </c>
      <c r="I518" s="3">
        <v>328</v>
      </c>
      <c r="J518" s="3">
        <f t="shared" si="6"/>
        <v>943656</v>
      </c>
      <c r="K518" s="4">
        <v>0.09</v>
      </c>
      <c r="L518" s="3">
        <f t="shared" si="7"/>
        <v>944505.29040000006</v>
      </c>
      <c r="M518" s="3">
        <f t="shared" si="8"/>
        <v>719250</v>
      </c>
    </row>
    <row r="519" spans="1:13" ht="14.25" customHeight="1" x14ac:dyDescent="0.25">
      <c r="A519" s="3">
        <v>490</v>
      </c>
      <c r="B519" s="6">
        <v>45783</v>
      </c>
      <c r="C519" s="3" t="s">
        <v>13</v>
      </c>
      <c r="D519" s="3" t="s">
        <v>20</v>
      </c>
      <c r="E519" s="3" t="s">
        <v>31</v>
      </c>
      <c r="F519" s="3" t="s">
        <v>16</v>
      </c>
      <c r="G519" s="3">
        <v>2903</v>
      </c>
      <c r="H519" s="3">
        <v>250</v>
      </c>
      <c r="I519" s="3">
        <v>325</v>
      </c>
      <c r="J519" s="3">
        <f t="shared" si="6"/>
        <v>943475</v>
      </c>
      <c r="K519" s="4">
        <v>0.21</v>
      </c>
      <c r="L519" s="3">
        <f t="shared" si="7"/>
        <v>945456.29749999999</v>
      </c>
      <c r="M519" s="3">
        <f t="shared" si="8"/>
        <v>725750</v>
      </c>
    </row>
    <row r="520" spans="1:13" ht="14.25" customHeight="1" x14ac:dyDescent="0.25">
      <c r="A520" s="3">
        <v>424</v>
      </c>
      <c r="B520" s="6">
        <v>45511</v>
      </c>
      <c r="C520" s="3" t="s">
        <v>13</v>
      </c>
      <c r="D520" s="3" t="s">
        <v>14</v>
      </c>
      <c r="E520" s="3" t="s">
        <v>32</v>
      </c>
      <c r="F520" s="3" t="s">
        <v>16</v>
      </c>
      <c r="G520" s="3">
        <v>2734</v>
      </c>
      <c r="H520" s="3">
        <v>260</v>
      </c>
      <c r="I520" s="3">
        <v>346</v>
      </c>
      <c r="J520" s="3">
        <f t="shared" si="6"/>
        <v>945964</v>
      </c>
      <c r="K520" s="4">
        <v>0.2</v>
      </c>
      <c r="L520" s="3">
        <f t="shared" si="7"/>
        <v>947855.92799999996</v>
      </c>
      <c r="M520" s="3">
        <f t="shared" si="8"/>
        <v>710840</v>
      </c>
    </row>
    <row r="521" spans="1:13" ht="14.25" customHeight="1" x14ac:dyDescent="0.25">
      <c r="A521" s="3">
        <v>38</v>
      </c>
      <c r="B521" s="6">
        <v>45827</v>
      </c>
      <c r="C521" s="3" t="s">
        <v>13</v>
      </c>
      <c r="D521" s="3" t="s">
        <v>25</v>
      </c>
      <c r="E521" s="3" t="s">
        <v>32</v>
      </c>
      <c r="F521" s="3" t="s">
        <v>28</v>
      </c>
      <c r="G521" s="3">
        <v>2750</v>
      </c>
      <c r="H521" s="3">
        <v>260</v>
      </c>
      <c r="I521" s="3">
        <v>350</v>
      </c>
      <c r="J521" s="3">
        <f t="shared" si="6"/>
        <v>962500</v>
      </c>
      <c r="K521" s="4">
        <v>0</v>
      </c>
      <c r="L521" s="3">
        <f t="shared" si="7"/>
        <v>962500</v>
      </c>
      <c r="M521" s="3">
        <f t="shared" si="8"/>
        <v>715000</v>
      </c>
    </row>
    <row r="522" spans="1:13" ht="14.25" customHeight="1" x14ac:dyDescent="0.25">
      <c r="A522" s="3">
        <v>423</v>
      </c>
      <c r="B522" s="6">
        <v>45950</v>
      </c>
      <c r="C522" s="3" t="s">
        <v>13</v>
      </c>
      <c r="D522" s="3" t="s">
        <v>25</v>
      </c>
      <c r="E522" s="3" t="s">
        <v>32</v>
      </c>
      <c r="F522" s="3" t="s">
        <v>16</v>
      </c>
      <c r="G522" s="3">
        <v>3421.5</v>
      </c>
      <c r="H522" s="3">
        <v>260</v>
      </c>
      <c r="I522" s="3">
        <v>286</v>
      </c>
      <c r="J522" s="3">
        <f t="shared" si="6"/>
        <v>978549</v>
      </c>
      <c r="K522" s="4">
        <v>0.2</v>
      </c>
      <c r="L522" s="3">
        <f t="shared" si="7"/>
        <v>980506.098</v>
      </c>
      <c r="M522" s="3">
        <f t="shared" si="8"/>
        <v>889590</v>
      </c>
    </row>
    <row r="523" spans="1:13" ht="14.25" customHeight="1" x14ac:dyDescent="0.25">
      <c r="A523" s="3">
        <v>418</v>
      </c>
      <c r="B523" s="6">
        <v>44269</v>
      </c>
      <c r="C523" s="3" t="s">
        <v>24</v>
      </c>
      <c r="D523" s="3" t="s">
        <v>25</v>
      </c>
      <c r="E523" s="3" t="s">
        <v>31</v>
      </c>
      <c r="F523" s="3" t="s">
        <v>16</v>
      </c>
      <c r="G523" s="3">
        <v>3874.5</v>
      </c>
      <c r="H523" s="3">
        <v>250</v>
      </c>
      <c r="I523" s="3">
        <v>262</v>
      </c>
      <c r="J523" s="3">
        <f t="shared" si="6"/>
        <v>1015119</v>
      </c>
      <c r="K523" s="4">
        <v>0.25</v>
      </c>
      <c r="L523" s="3">
        <f t="shared" si="7"/>
        <v>1017656.7975</v>
      </c>
      <c r="M523" s="3">
        <f t="shared" si="8"/>
        <v>968625</v>
      </c>
    </row>
    <row r="524" spans="1:13" ht="14.25" customHeight="1" x14ac:dyDescent="0.25">
      <c r="A524" s="3">
        <v>364</v>
      </c>
      <c r="B524" s="6">
        <v>44833</v>
      </c>
      <c r="C524" s="3" t="s">
        <v>23</v>
      </c>
      <c r="D524" s="3" t="s">
        <v>14</v>
      </c>
      <c r="E524" s="3" t="s">
        <v>32</v>
      </c>
      <c r="F524" s="3" t="s">
        <v>16</v>
      </c>
      <c r="G524" s="3">
        <v>3520.5</v>
      </c>
      <c r="H524" s="3">
        <v>260</v>
      </c>
      <c r="I524" s="3">
        <v>306</v>
      </c>
      <c r="J524" s="3">
        <f t="shared" si="6"/>
        <v>1077273</v>
      </c>
      <c r="K524" s="4">
        <v>0.21</v>
      </c>
      <c r="L524" s="3">
        <f t="shared" si="7"/>
        <v>1079535.2733</v>
      </c>
      <c r="M524" s="3">
        <f t="shared" si="8"/>
        <v>915330</v>
      </c>
    </row>
    <row r="525" spans="1:13" ht="14.25" customHeight="1" x14ac:dyDescent="0.25">
      <c r="A525" s="3">
        <v>394</v>
      </c>
      <c r="B525" s="6">
        <v>45721</v>
      </c>
      <c r="C525" s="3" t="s">
        <v>29</v>
      </c>
      <c r="D525" s="3" t="s">
        <v>22</v>
      </c>
      <c r="E525" s="3" t="s">
        <v>32</v>
      </c>
      <c r="F525" s="3" t="s">
        <v>16</v>
      </c>
      <c r="G525" s="3">
        <v>3165</v>
      </c>
      <c r="H525" s="3">
        <v>260</v>
      </c>
      <c r="I525" s="3">
        <v>343</v>
      </c>
      <c r="J525" s="3">
        <f t="shared" si="6"/>
        <v>1085595</v>
      </c>
      <c r="K525" s="4">
        <v>0.2</v>
      </c>
      <c r="L525" s="3">
        <f t="shared" si="7"/>
        <v>1087766.19</v>
      </c>
      <c r="M525" s="3">
        <f t="shared" si="8"/>
        <v>822900</v>
      </c>
    </row>
    <row r="526" spans="1:13" ht="14.25" customHeight="1" x14ac:dyDescent="0.25">
      <c r="A526" s="3">
        <v>40</v>
      </c>
      <c r="B526" s="6">
        <v>44781</v>
      </c>
      <c r="C526" s="3" t="s">
        <v>29</v>
      </c>
      <c r="D526" s="3" t="s">
        <v>22</v>
      </c>
      <c r="E526" s="3" t="s">
        <v>32</v>
      </c>
      <c r="F526" s="3" t="s">
        <v>28</v>
      </c>
      <c r="G526" s="3">
        <v>4219.5</v>
      </c>
      <c r="H526" s="3">
        <v>260</v>
      </c>
      <c r="I526" s="3">
        <v>327</v>
      </c>
      <c r="J526" s="3">
        <f t="shared" si="6"/>
        <v>1379776.5</v>
      </c>
      <c r="K526" s="4">
        <v>0</v>
      </c>
      <c r="L526" s="3">
        <f t="shared" si="7"/>
        <v>1379776.5</v>
      </c>
      <c r="M526" s="3">
        <f t="shared" si="8"/>
        <v>1097070</v>
      </c>
    </row>
    <row r="527" spans="1:13" ht="14.25" customHeight="1" x14ac:dyDescent="0.25">
      <c r="B527" s="6"/>
    </row>
    <row r="528" spans="1:13" ht="14.25" customHeight="1" x14ac:dyDescent="0.25">
      <c r="B528" s="6"/>
    </row>
    <row r="529" spans="2:2" ht="14.25" customHeight="1" x14ac:dyDescent="0.25">
      <c r="B529" s="6"/>
    </row>
    <row r="530" spans="2:2" ht="14.25" customHeight="1" x14ac:dyDescent="0.25">
      <c r="B530" s="6"/>
    </row>
    <row r="531" spans="2:2" ht="14.25" customHeight="1" x14ac:dyDescent="0.25">
      <c r="B531" s="6"/>
    </row>
    <row r="532" spans="2:2" ht="14.25" customHeight="1" x14ac:dyDescent="0.25">
      <c r="B532" s="6"/>
    </row>
    <row r="533" spans="2:2" ht="14.25" customHeight="1" x14ac:dyDescent="0.25">
      <c r="B533" s="6"/>
    </row>
    <row r="534" spans="2:2" ht="14.25" customHeight="1" x14ac:dyDescent="0.25">
      <c r="B534" s="6"/>
    </row>
    <row r="535" spans="2:2" ht="14.25" customHeight="1" x14ac:dyDescent="0.25">
      <c r="B535" s="6"/>
    </row>
    <row r="536" spans="2:2" ht="14.25" customHeight="1" x14ac:dyDescent="0.25">
      <c r="B536" s="6"/>
    </row>
    <row r="537" spans="2:2" ht="14.25" customHeight="1" x14ac:dyDescent="0.25">
      <c r="B537" s="6"/>
    </row>
    <row r="538" spans="2:2" ht="14.25" customHeight="1" x14ac:dyDescent="0.25">
      <c r="B538" s="6"/>
    </row>
    <row r="539" spans="2:2" ht="14.25" customHeight="1" x14ac:dyDescent="0.25">
      <c r="B539" s="6"/>
    </row>
    <row r="540" spans="2:2" ht="14.25" customHeight="1" x14ac:dyDescent="0.25">
      <c r="B540" s="6"/>
    </row>
    <row r="541" spans="2:2" ht="14.25" customHeight="1" x14ac:dyDescent="0.25">
      <c r="B541" s="6"/>
    </row>
    <row r="542" spans="2:2" ht="14.25" customHeight="1" x14ac:dyDescent="0.25">
      <c r="B542" s="6"/>
    </row>
    <row r="543" spans="2:2" ht="14.25" customHeight="1" x14ac:dyDescent="0.25">
      <c r="B543" s="6"/>
    </row>
    <row r="544" spans="2:2" ht="14.25" customHeight="1" x14ac:dyDescent="0.25">
      <c r="B544" s="6"/>
    </row>
    <row r="545" spans="2:2" ht="14.25" customHeight="1" x14ac:dyDescent="0.25">
      <c r="B545" s="6"/>
    </row>
    <row r="546" spans="2:2" ht="14.25" customHeight="1" x14ac:dyDescent="0.25">
      <c r="B546" s="6"/>
    </row>
    <row r="547" spans="2:2" ht="14.25" customHeight="1" x14ac:dyDescent="0.25">
      <c r="B547" s="6"/>
    </row>
    <row r="548" spans="2:2" ht="14.25" customHeight="1" x14ac:dyDescent="0.25">
      <c r="B548" s="6"/>
    </row>
    <row r="549" spans="2:2" ht="14.25" customHeight="1" x14ac:dyDescent="0.25">
      <c r="B549" s="6"/>
    </row>
    <row r="550" spans="2:2" ht="14.25" customHeight="1" x14ac:dyDescent="0.25">
      <c r="B550" s="6"/>
    </row>
    <row r="551" spans="2:2" ht="14.25" customHeight="1" x14ac:dyDescent="0.25">
      <c r="B551" s="6"/>
    </row>
    <row r="552" spans="2:2" ht="14.25" customHeight="1" x14ac:dyDescent="0.25">
      <c r="B552" s="6"/>
    </row>
    <row r="553" spans="2:2" ht="14.25" customHeight="1" x14ac:dyDescent="0.25">
      <c r="B553" s="6"/>
    </row>
    <row r="554" spans="2:2" ht="14.25" customHeight="1" x14ac:dyDescent="0.25">
      <c r="B554" s="6"/>
    </row>
    <row r="555" spans="2:2" ht="14.25" customHeight="1" x14ac:dyDescent="0.25">
      <c r="B555" s="6"/>
    </row>
    <row r="556" spans="2:2" ht="14.25" customHeight="1" x14ac:dyDescent="0.25">
      <c r="B556" s="6"/>
    </row>
    <row r="557" spans="2:2" ht="14.25" customHeight="1" x14ac:dyDescent="0.25">
      <c r="B557" s="6"/>
    </row>
    <row r="558" spans="2:2" ht="14.25" customHeight="1" x14ac:dyDescent="0.25">
      <c r="B558" s="6"/>
    </row>
    <row r="559" spans="2:2" ht="14.25" customHeight="1" x14ac:dyDescent="0.25">
      <c r="B559" s="6"/>
    </row>
    <row r="560" spans="2:2" ht="14.25" customHeight="1" x14ac:dyDescent="0.25">
      <c r="B560" s="6"/>
    </row>
    <row r="561" spans="2:2" ht="14.25" customHeight="1" x14ac:dyDescent="0.25">
      <c r="B561" s="6"/>
    </row>
    <row r="562" spans="2:2" ht="14.25" customHeight="1" x14ac:dyDescent="0.25">
      <c r="B562" s="6"/>
    </row>
    <row r="563" spans="2:2" ht="14.25" customHeight="1" x14ac:dyDescent="0.25">
      <c r="B563" s="6"/>
    </row>
    <row r="564" spans="2:2" ht="14.25" customHeight="1" x14ac:dyDescent="0.25">
      <c r="B564" s="6"/>
    </row>
    <row r="565" spans="2:2" ht="14.25" customHeight="1" x14ac:dyDescent="0.25">
      <c r="B565" s="6"/>
    </row>
    <row r="566" spans="2:2" ht="14.25" customHeight="1" x14ac:dyDescent="0.25">
      <c r="B566" s="6"/>
    </row>
    <row r="567" spans="2:2" ht="14.25" customHeight="1" x14ac:dyDescent="0.25">
      <c r="B567" s="6"/>
    </row>
    <row r="568" spans="2:2" ht="14.25" customHeight="1" x14ac:dyDescent="0.25">
      <c r="B568" s="6"/>
    </row>
    <row r="569" spans="2:2" ht="14.25" customHeight="1" x14ac:dyDescent="0.25">
      <c r="B569" s="6"/>
    </row>
    <row r="570" spans="2:2" ht="14.25" customHeight="1" x14ac:dyDescent="0.25">
      <c r="B570" s="6"/>
    </row>
    <row r="571" spans="2:2" ht="14.25" customHeight="1" x14ac:dyDescent="0.25">
      <c r="B571" s="6"/>
    </row>
    <row r="572" spans="2:2" ht="14.25" customHeight="1" x14ac:dyDescent="0.25">
      <c r="B572" s="6"/>
    </row>
    <row r="573" spans="2:2" ht="14.25" customHeight="1" x14ac:dyDescent="0.25">
      <c r="B573" s="6"/>
    </row>
    <row r="574" spans="2:2" ht="14.25" customHeight="1" x14ac:dyDescent="0.25">
      <c r="B574" s="6"/>
    </row>
    <row r="575" spans="2:2" ht="14.25" customHeight="1" x14ac:dyDescent="0.25">
      <c r="B575" s="6"/>
    </row>
    <row r="576" spans="2:2" ht="14.25" customHeight="1" x14ac:dyDescent="0.25">
      <c r="B576" s="6"/>
    </row>
    <row r="577" spans="2:2" ht="14.25" customHeight="1" x14ac:dyDescent="0.25">
      <c r="B577" s="6"/>
    </row>
    <row r="578" spans="2:2" ht="14.25" customHeight="1" x14ac:dyDescent="0.25">
      <c r="B578" s="6"/>
    </row>
    <row r="579" spans="2:2" ht="14.25" customHeight="1" x14ac:dyDescent="0.25">
      <c r="B579" s="6"/>
    </row>
    <row r="580" spans="2:2" ht="14.25" customHeight="1" x14ac:dyDescent="0.25">
      <c r="B580" s="6"/>
    </row>
    <row r="581" spans="2:2" ht="14.25" customHeight="1" x14ac:dyDescent="0.25">
      <c r="B581" s="6"/>
    </row>
    <row r="582" spans="2:2" ht="14.25" customHeight="1" x14ac:dyDescent="0.25">
      <c r="B582" s="6"/>
    </row>
    <row r="583" spans="2:2" ht="14.25" customHeight="1" x14ac:dyDescent="0.25">
      <c r="B583" s="6"/>
    </row>
    <row r="584" spans="2:2" ht="14.25" customHeight="1" x14ac:dyDescent="0.25">
      <c r="B584" s="6"/>
    </row>
    <row r="585" spans="2:2" ht="14.25" customHeight="1" x14ac:dyDescent="0.25">
      <c r="B585" s="6"/>
    </row>
    <row r="586" spans="2:2" ht="14.25" customHeight="1" x14ac:dyDescent="0.25">
      <c r="B586" s="6"/>
    </row>
    <row r="587" spans="2:2" ht="14.25" customHeight="1" x14ac:dyDescent="0.25">
      <c r="B587" s="6"/>
    </row>
    <row r="588" spans="2:2" ht="14.25" customHeight="1" x14ac:dyDescent="0.25">
      <c r="B588" s="6"/>
    </row>
    <row r="589" spans="2:2" ht="14.25" customHeight="1" x14ac:dyDescent="0.25">
      <c r="B589" s="6"/>
    </row>
    <row r="590" spans="2:2" ht="14.25" customHeight="1" x14ac:dyDescent="0.25">
      <c r="B590" s="6"/>
    </row>
    <row r="591" spans="2:2" ht="14.25" customHeight="1" x14ac:dyDescent="0.25">
      <c r="B591" s="6"/>
    </row>
    <row r="592" spans="2:2" ht="14.25" customHeight="1" x14ac:dyDescent="0.25">
      <c r="B592" s="6"/>
    </row>
    <row r="593" spans="2:2" ht="14.25" customHeight="1" x14ac:dyDescent="0.25">
      <c r="B593" s="6"/>
    </row>
    <row r="594" spans="2:2" ht="14.25" customHeight="1" x14ac:dyDescent="0.25">
      <c r="B594" s="6"/>
    </row>
    <row r="595" spans="2:2" ht="14.25" customHeight="1" x14ac:dyDescent="0.25">
      <c r="B595" s="6"/>
    </row>
    <row r="596" spans="2:2" ht="14.25" customHeight="1" x14ac:dyDescent="0.25">
      <c r="B596" s="6"/>
    </row>
    <row r="597" spans="2:2" ht="14.25" customHeight="1" x14ac:dyDescent="0.25">
      <c r="B597" s="6"/>
    </row>
    <row r="598" spans="2:2" ht="14.25" customHeight="1" x14ac:dyDescent="0.25">
      <c r="B598" s="6"/>
    </row>
    <row r="599" spans="2:2" ht="14.25" customHeight="1" x14ac:dyDescent="0.25">
      <c r="B599" s="6"/>
    </row>
    <row r="600" spans="2:2" ht="14.25" customHeight="1" x14ac:dyDescent="0.25">
      <c r="B600" s="6"/>
    </row>
    <row r="601" spans="2:2" ht="14.25" customHeight="1" x14ac:dyDescent="0.25">
      <c r="B601" s="6"/>
    </row>
    <row r="602" spans="2:2" ht="14.25" customHeight="1" x14ac:dyDescent="0.25">
      <c r="B602" s="6"/>
    </row>
    <row r="603" spans="2:2" ht="14.25" customHeight="1" x14ac:dyDescent="0.25">
      <c r="B603" s="6"/>
    </row>
    <row r="604" spans="2:2" ht="14.25" customHeight="1" x14ac:dyDescent="0.25">
      <c r="B604" s="6"/>
    </row>
    <row r="605" spans="2:2" ht="14.25" customHeight="1" x14ac:dyDescent="0.25">
      <c r="B605" s="6"/>
    </row>
    <row r="606" spans="2:2" ht="14.25" customHeight="1" x14ac:dyDescent="0.25">
      <c r="B606" s="6"/>
    </row>
    <row r="607" spans="2:2" ht="14.25" customHeight="1" x14ac:dyDescent="0.25">
      <c r="B607" s="6"/>
    </row>
    <row r="608" spans="2:2" ht="14.25" customHeight="1" x14ac:dyDescent="0.25">
      <c r="B608" s="6"/>
    </row>
    <row r="609" spans="2:2" ht="14.25" customHeight="1" x14ac:dyDescent="0.25">
      <c r="B609" s="6"/>
    </row>
    <row r="610" spans="2:2" ht="14.25" customHeight="1" x14ac:dyDescent="0.25">
      <c r="B610" s="6"/>
    </row>
    <row r="611" spans="2:2" ht="14.25" customHeight="1" x14ac:dyDescent="0.25">
      <c r="B611" s="6"/>
    </row>
    <row r="612" spans="2:2" ht="14.25" customHeight="1" x14ac:dyDescent="0.25">
      <c r="B612" s="6"/>
    </row>
    <row r="613" spans="2:2" ht="14.25" customHeight="1" x14ac:dyDescent="0.25">
      <c r="B613" s="6"/>
    </row>
    <row r="614" spans="2:2" ht="14.25" customHeight="1" x14ac:dyDescent="0.25">
      <c r="B614" s="6"/>
    </row>
    <row r="615" spans="2:2" ht="14.25" customHeight="1" x14ac:dyDescent="0.25">
      <c r="B615" s="6"/>
    </row>
    <row r="616" spans="2:2" ht="14.25" customHeight="1" x14ac:dyDescent="0.25">
      <c r="B616" s="6"/>
    </row>
    <row r="617" spans="2:2" ht="14.25" customHeight="1" x14ac:dyDescent="0.25">
      <c r="B617" s="6"/>
    </row>
    <row r="618" spans="2:2" ht="14.25" customHeight="1" x14ac:dyDescent="0.25">
      <c r="B618" s="6"/>
    </row>
    <row r="619" spans="2:2" ht="14.25" customHeight="1" x14ac:dyDescent="0.25">
      <c r="B619" s="6"/>
    </row>
    <row r="620" spans="2:2" ht="14.25" customHeight="1" x14ac:dyDescent="0.25">
      <c r="B620" s="6"/>
    </row>
    <row r="621" spans="2:2" ht="14.25" customHeight="1" x14ac:dyDescent="0.25">
      <c r="B621" s="6"/>
    </row>
    <row r="622" spans="2:2" ht="14.25" customHeight="1" x14ac:dyDescent="0.25">
      <c r="B622" s="6"/>
    </row>
    <row r="623" spans="2:2" ht="14.25" customHeight="1" x14ac:dyDescent="0.25">
      <c r="B623" s="6"/>
    </row>
    <row r="624" spans="2:2" ht="14.25" customHeight="1" x14ac:dyDescent="0.25">
      <c r="B624" s="6"/>
    </row>
    <row r="625" spans="2:2" ht="14.25" customHeight="1" x14ac:dyDescent="0.25">
      <c r="B625" s="6"/>
    </row>
    <row r="626" spans="2:2" ht="14.25" customHeight="1" x14ac:dyDescent="0.25">
      <c r="B626" s="6"/>
    </row>
    <row r="627" spans="2:2" ht="14.25" customHeight="1" x14ac:dyDescent="0.25">
      <c r="B627" s="6"/>
    </row>
    <row r="628" spans="2:2" ht="14.25" customHeight="1" x14ac:dyDescent="0.25">
      <c r="B628" s="6"/>
    </row>
    <row r="629" spans="2:2" ht="14.25" customHeight="1" x14ac:dyDescent="0.25">
      <c r="B629" s="6"/>
    </row>
    <row r="630" spans="2:2" ht="14.25" customHeight="1" x14ac:dyDescent="0.25">
      <c r="B630" s="6"/>
    </row>
    <row r="631" spans="2:2" ht="14.25" customHeight="1" x14ac:dyDescent="0.25">
      <c r="B631" s="6"/>
    </row>
    <row r="632" spans="2:2" ht="14.25" customHeight="1" x14ac:dyDescent="0.25">
      <c r="B632" s="6"/>
    </row>
    <row r="633" spans="2:2" ht="14.25" customHeight="1" x14ac:dyDescent="0.25">
      <c r="B633" s="6"/>
    </row>
    <row r="634" spans="2:2" ht="14.25" customHeight="1" x14ac:dyDescent="0.25">
      <c r="B634" s="6"/>
    </row>
    <row r="635" spans="2:2" ht="14.25" customHeight="1" x14ac:dyDescent="0.25">
      <c r="B635" s="6"/>
    </row>
    <row r="636" spans="2:2" ht="14.25" customHeight="1" x14ac:dyDescent="0.25">
      <c r="B636" s="6"/>
    </row>
    <row r="637" spans="2:2" ht="14.25" customHeight="1" x14ac:dyDescent="0.25">
      <c r="B637" s="6"/>
    </row>
    <row r="638" spans="2:2" ht="14.25" customHeight="1" x14ac:dyDescent="0.25">
      <c r="B638" s="6"/>
    </row>
    <row r="639" spans="2:2" ht="14.25" customHeight="1" x14ac:dyDescent="0.25">
      <c r="B639" s="6"/>
    </row>
    <row r="640" spans="2:2" ht="14.25" customHeight="1" x14ac:dyDescent="0.25">
      <c r="B640" s="6"/>
    </row>
    <row r="641" spans="2:2" ht="14.25" customHeight="1" x14ac:dyDescent="0.25">
      <c r="B641" s="6"/>
    </row>
    <row r="642" spans="2:2" ht="14.25" customHeight="1" x14ac:dyDescent="0.25">
      <c r="B642" s="6"/>
    </row>
    <row r="643" spans="2:2" ht="14.25" customHeight="1" x14ac:dyDescent="0.25">
      <c r="B643" s="6"/>
    </row>
    <row r="644" spans="2:2" ht="14.25" customHeight="1" x14ac:dyDescent="0.25">
      <c r="B644" s="6"/>
    </row>
    <row r="645" spans="2:2" ht="14.25" customHeight="1" x14ac:dyDescent="0.25">
      <c r="B645" s="6"/>
    </row>
    <row r="646" spans="2:2" ht="14.25" customHeight="1" x14ac:dyDescent="0.25">
      <c r="B646" s="6"/>
    </row>
    <row r="647" spans="2:2" ht="14.25" customHeight="1" x14ac:dyDescent="0.25">
      <c r="B647" s="6"/>
    </row>
    <row r="648" spans="2:2" ht="14.25" customHeight="1" x14ac:dyDescent="0.25">
      <c r="B648" s="6"/>
    </row>
    <row r="649" spans="2:2" ht="14.25" customHeight="1" x14ac:dyDescent="0.25">
      <c r="B649" s="6"/>
    </row>
    <row r="650" spans="2:2" ht="14.25" customHeight="1" x14ac:dyDescent="0.25">
      <c r="B650" s="6"/>
    </row>
    <row r="651" spans="2:2" ht="14.25" customHeight="1" x14ac:dyDescent="0.25">
      <c r="B651" s="6"/>
    </row>
    <row r="652" spans="2:2" ht="14.25" customHeight="1" x14ac:dyDescent="0.25">
      <c r="B652" s="6"/>
    </row>
    <row r="653" spans="2:2" ht="14.25" customHeight="1" x14ac:dyDescent="0.25">
      <c r="B653" s="6"/>
    </row>
    <row r="654" spans="2:2" ht="14.25" customHeight="1" x14ac:dyDescent="0.25">
      <c r="B654" s="6"/>
    </row>
    <row r="655" spans="2:2" ht="14.25" customHeight="1" x14ac:dyDescent="0.25">
      <c r="B655" s="6"/>
    </row>
    <row r="656" spans="2:2" ht="14.25" customHeight="1" x14ac:dyDescent="0.25">
      <c r="B656" s="6"/>
    </row>
    <row r="657" spans="2:2" ht="14.25" customHeight="1" x14ac:dyDescent="0.25">
      <c r="B657" s="6"/>
    </row>
    <row r="658" spans="2:2" ht="14.25" customHeight="1" x14ac:dyDescent="0.25">
      <c r="B658" s="6"/>
    </row>
    <row r="659" spans="2:2" ht="14.25" customHeight="1" x14ac:dyDescent="0.25">
      <c r="B659" s="6"/>
    </row>
    <row r="660" spans="2:2" ht="14.25" customHeight="1" x14ac:dyDescent="0.25">
      <c r="B660" s="6"/>
    </row>
    <row r="661" spans="2:2" ht="14.25" customHeight="1" x14ac:dyDescent="0.25">
      <c r="B661" s="6"/>
    </row>
    <row r="662" spans="2:2" ht="14.25" customHeight="1" x14ac:dyDescent="0.25">
      <c r="B662" s="6"/>
    </row>
    <row r="663" spans="2:2" ht="14.25" customHeight="1" x14ac:dyDescent="0.25">
      <c r="B663" s="6"/>
    </row>
    <row r="664" spans="2:2" ht="14.25" customHeight="1" x14ac:dyDescent="0.25">
      <c r="B664" s="6"/>
    </row>
    <row r="665" spans="2:2" ht="14.25" customHeight="1" x14ac:dyDescent="0.25">
      <c r="B665" s="6"/>
    </row>
    <row r="666" spans="2:2" ht="14.25" customHeight="1" x14ac:dyDescent="0.25">
      <c r="B666" s="6"/>
    </row>
    <row r="667" spans="2:2" ht="14.25" customHeight="1" x14ac:dyDescent="0.25">
      <c r="B667" s="6"/>
    </row>
    <row r="668" spans="2:2" ht="14.25" customHeight="1" x14ac:dyDescent="0.25">
      <c r="B668" s="6"/>
    </row>
    <row r="669" spans="2:2" ht="14.25" customHeight="1" x14ac:dyDescent="0.25">
      <c r="B669" s="6"/>
    </row>
    <row r="670" spans="2:2" ht="14.25" customHeight="1" x14ac:dyDescent="0.25">
      <c r="B670" s="6"/>
    </row>
    <row r="671" spans="2:2" ht="14.25" customHeight="1" x14ac:dyDescent="0.25">
      <c r="B671" s="6"/>
    </row>
    <row r="672" spans="2:2" ht="14.25" customHeight="1" x14ac:dyDescent="0.25">
      <c r="B672" s="6"/>
    </row>
    <row r="673" spans="2:2" ht="14.25" customHeight="1" x14ac:dyDescent="0.25">
      <c r="B673" s="6"/>
    </row>
    <row r="674" spans="2:2" ht="14.25" customHeight="1" x14ac:dyDescent="0.25">
      <c r="B674" s="6"/>
    </row>
    <row r="675" spans="2:2" ht="14.25" customHeight="1" x14ac:dyDescent="0.25">
      <c r="B675" s="6"/>
    </row>
    <row r="676" spans="2:2" ht="14.25" customHeight="1" x14ac:dyDescent="0.25">
      <c r="B676" s="6"/>
    </row>
    <row r="677" spans="2:2" ht="14.25" customHeight="1" x14ac:dyDescent="0.25">
      <c r="B677" s="6"/>
    </row>
    <row r="678" spans="2:2" ht="14.25" customHeight="1" x14ac:dyDescent="0.25">
      <c r="B678" s="6"/>
    </row>
    <row r="679" spans="2:2" ht="14.25" customHeight="1" x14ac:dyDescent="0.25">
      <c r="B679" s="6"/>
    </row>
    <row r="680" spans="2:2" ht="14.25" customHeight="1" x14ac:dyDescent="0.25">
      <c r="B680" s="6"/>
    </row>
    <row r="681" spans="2:2" ht="14.25" customHeight="1" x14ac:dyDescent="0.25">
      <c r="B681" s="6"/>
    </row>
    <row r="682" spans="2:2" ht="14.25" customHeight="1" x14ac:dyDescent="0.25">
      <c r="B682" s="6"/>
    </row>
    <row r="683" spans="2:2" ht="14.25" customHeight="1" x14ac:dyDescent="0.25">
      <c r="B683" s="6"/>
    </row>
    <row r="684" spans="2:2" ht="14.25" customHeight="1" x14ac:dyDescent="0.25">
      <c r="B684" s="6"/>
    </row>
    <row r="685" spans="2:2" ht="14.25" customHeight="1" x14ac:dyDescent="0.25">
      <c r="B685" s="6"/>
    </row>
    <row r="686" spans="2:2" ht="14.25" customHeight="1" x14ac:dyDescent="0.25">
      <c r="B686" s="6"/>
    </row>
    <row r="687" spans="2:2" ht="14.25" customHeight="1" x14ac:dyDescent="0.25">
      <c r="B687" s="6"/>
    </row>
    <row r="688" spans="2:2" ht="14.25" customHeight="1" x14ac:dyDescent="0.25">
      <c r="B688" s="6"/>
    </row>
    <row r="689" spans="2:2" ht="14.25" customHeight="1" x14ac:dyDescent="0.25">
      <c r="B689" s="6"/>
    </row>
    <row r="690" spans="2:2" ht="14.25" customHeight="1" x14ac:dyDescent="0.25">
      <c r="B690" s="6"/>
    </row>
    <row r="691" spans="2:2" ht="14.25" customHeight="1" x14ac:dyDescent="0.25">
      <c r="B691" s="6"/>
    </row>
    <row r="692" spans="2:2" ht="14.25" customHeight="1" x14ac:dyDescent="0.25">
      <c r="B692" s="6"/>
    </row>
    <row r="693" spans="2:2" ht="14.25" customHeight="1" x14ac:dyDescent="0.25">
      <c r="B693" s="6"/>
    </row>
    <row r="694" spans="2:2" ht="14.25" customHeight="1" x14ac:dyDescent="0.25">
      <c r="B694" s="6"/>
    </row>
    <row r="695" spans="2:2" ht="14.25" customHeight="1" x14ac:dyDescent="0.25">
      <c r="B695" s="6"/>
    </row>
    <row r="696" spans="2:2" ht="14.25" customHeight="1" x14ac:dyDescent="0.25">
      <c r="B696" s="6"/>
    </row>
    <row r="697" spans="2:2" ht="14.25" customHeight="1" x14ac:dyDescent="0.25">
      <c r="B697" s="6"/>
    </row>
    <row r="698" spans="2:2" ht="14.25" customHeight="1" x14ac:dyDescent="0.25">
      <c r="B698" s="6"/>
    </row>
    <row r="699" spans="2:2" ht="14.25" customHeight="1" x14ac:dyDescent="0.25">
      <c r="B699" s="6"/>
    </row>
    <row r="700" spans="2:2" ht="14.25" customHeight="1" x14ac:dyDescent="0.25">
      <c r="B700" s="6"/>
    </row>
    <row r="701" spans="2:2" ht="14.25" customHeight="1" x14ac:dyDescent="0.25">
      <c r="B701" s="6"/>
    </row>
    <row r="702" spans="2:2" ht="14.25" customHeight="1" x14ac:dyDescent="0.25">
      <c r="B702" s="6"/>
    </row>
    <row r="703" spans="2:2" ht="14.25" customHeight="1" x14ac:dyDescent="0.25">
      <c r="B703" s="6"/>
    </row>
    <row r="704" spans="2:2" ht="14.25" customHeight="1" x14ac:dyDescent="0.25">
      <c r="B704" s="6"/>
    </row>
    <row r="705" spans="2:2" ht="14.25" customHeight="1" x14ac:dyDescent="0.25">
      <c r="B705" s="6"/>
    </row>
    <row r="706" spans="2:2" ht="14.25" customHeight="1" x14ac:dyDescent="0.25">
      <c r="B706" s="6"/>
    </row>
    <row r="707" spans="2:2" ht="14.25" customHeight="1" x14ac:dyDescent="0.25">
      <c r="B707" s="6"/>
    </row>
    <row r="708" spans="2:2" ht="14.25" customHeight="1" x14ac:dyDescent="0.25">
      <c r="B708" s="6"/>
    </row>
    <row r="709" spans="2:2" ht="14.25" customHeight="1" x14ac:dyDescent="0.25">
      <c r="B709" s="6"/>
    </row>
    <row r="710" spans="2:2" ht="14.25" customHeight="1" x14ac:dyDescent="0.25">
      <c r="B710" s="6"/>
    </row>
    <row r="711" spans="2:2" ht="14.25" customHeight="1" x14ac:dyDescent="0.25">
      <c r="B711" s="6"/>
    </row>
    <row r="712" spans="2:2" ht="14.25" customHeight="1" x14ac:dyDescent="0.25">
      <c r="B712" s="6"/>
    </row>
    <row r="713" spans="2:2" ht="14.25" customHeight="1" x14ac:dyDescent="0.25">
      <c r="B713" s="6"/>
    </row>
    <row r="714" spans="2:2" ht="14.25" customHeight="1" x14ac:dyDescent="0.25">
      <c r="B714" s="6"/>
    </row>
    <row r="715" spans="2:2" ht="14.25" customHeight="1" x14ac:dyDescent="0.25">
      <c r="B715" s="6"/>
    </row>
    <row r="716" spans="2:2" ht="14.25" customHeight="1" x14ac:dyDescent="0.25">
      <c r="B716" s="6"/>
    </row>
    <row r="717" spans="2:2" ht="14.25" customHeight="1" x14ac:dyDescent="0.25">
      <c r="B717" s="6"/>
    </row>
    <row r="718" spans="2:2" ht="14.25" customHeight="1" x14ac:dyDescent="0.25">
      <c r="B718" s="6"/>
    </row>
    <row r="719" spans="2:2" ht="14.25" customHeight="1" x14ac:dyDescent="0.25">
      <c r="B719" s="6"/>
    </row>
    <row r="720" spans="2:2" ht="14.25" customHeight="1" x14ac:dyDescent="0.25">
      <c r="B720" s="6"/>
    </row>
    <row r="721" spans="2:2" ht="14.25" customHeight="1" x14ac:dyDescent="0.25">
      <c r="B721" s="6"/>
    </row>
    <row r="722" spans="2:2" ht="14.25" customHeight="1" x14ac:dyDescent="0.25">
      <c r="B722" s="6"/>
    </row>
    <row r="723" spans="2:2" ht="14.25" customHeight="1" x14ac:dyDescent="0.25">
      <c r="B723" s="6"/>
    </row>
    <row r="724" spans="2:2" ht="14.25" customHeight="1" x14ac:dyDescent="0.25">
      <c r="B724" s="6"/>
    </row>
    <row r="725" spans="2:2" ht="14.25" customHeight="1" x14ac:dyDescent="0.25">
      <c r="B725" s="6"/>
    </row>
    <row r="726" spans="2:2" ht="14.25" customHeight="1" x14ac:dyDescent="0.25">
      <c r="B726" s="6"/>
    </row>
    <row r="727" spans="2:2" ht="14.25" customHeight="1" x14ac:dyDescent="0.25">
      <c r="B727" s="6"/>
    </row>
    <row r="728" spans="2:2" ht="14.25" customHeight="1" x14ac:dyDescent="0.25">
      <c r="B728" s="6"/>
    </row>
    <row r="729" spans="2:2" ht="14.25" customHeight="1" x14ac:dyDescent="0.25">
      <c r="B729" s="6"/>
    </row>
    <row r="730" spans="2:2" ht="14.25" customHeight="1" x14ac:dyDescent="0.25">
      <c r="B730" s="6"/>
    </row>
    <row r="731" spans="2:2" ht="14.25" customHeight="1" x14ac:dyDescent="0.25">
      <c r="B731" s="6"/>
    </row>
    <row r="732" spans="2:2" ht="14.25" customHeight="1" x14ac:dyDescent="0.25">
      <c r="B732" s="6"/>
    </row>
    <row r="733" spans="2:2" ht="14.25" customHeight="1" x14ac:dyDescent="0.25">
      <c r="B733" s="6"/>
    </row>
    <row r="734" spans="2:2" ht="14.25" customHeight="1" x14ac:dyDescent="0.25">
      <c r="B734" s="6"/>
    </row>
    <row r="735" spans="2:2" ht="14.25" customHeight="1" x14ac:dyDescent="0.25">
      <c r="B735" s="6"/>
    </row>
    <row r="736" spans="2:2" ht="14.25" customHeight="1" x14ac:dyDescent="0.25">
      <c r="B736" s="6"/>
    </row>
    <row r="737" spans="2:2" ht="14.25" customHeight="1" x14ac:dyDescent="0.25">
      <c r="B737" s="6"/>
    </row>
    <row r="738" spans="2:2" ht="14.25" customHeight="1" x14ac:dyDescent="0.25">
      <c r="B738" s="6"/>
    </row>
    <row r="739" spans="2:2" ht="14.25" customHeight="1" x14ac:dyDescent="0.25">
      <c r="B739" s="6"/>
    </row>
    <row r="740" spans="2:2" ht="14.25" customHeight="1" x14ac:dyDescent="0.25">
      <c r="B740" s="6"/>
    </row>
    <row r="741" spans="2:2" ht="14.25" customHeight="1" x14ac:dyDescent="0.25">
      <c r="B741" s="6"/>
    </row>
    <row r="742" spans="2:2" ht="14.25" customHeight="1" x14ac:dyDescent="0.25">
      <c r="B742" s="6"/>
    </row>
    <row r="743" spans="2:2" ht="14.25" customHeight="1" x14ac:dyDescent="0.25">
      <c r="B743" s="6"/>
    </row>
    <row r="744" spans="2:2" ht="14.25" customHeight="1" x14ac:dyDescent="0.25">
      <c r="B744" s="6"/>
    </row>
    <row r="745" spans="2:2" ht="14.25" customHeight="1" x14ac:dyDescent="0.25">
      <c r="B745" s="6"/>
    </row>
    <row r="746" spans="2:2" ht="14.25" customHeight="1" x14ac:dyDescent="0.25">
      <c r="B746" s="6"/>
    </row>
    <row r="747" spans="2:2" ht="14.25" customHeight="1" x14ac:dyDescent="0.25">
      <c r="B747" s="6"/>
    </row>
    <row r="748" spans="2:2" ht="14.25" customHeight="1" x14ac:dyDescent="0.25">
      <c r="B748" s="6"/>
    </row>
    <row r="749" spans="2:2" ht="14.25" customHeight="1" x14ac:dyDescent="0.25">
      <c r="B749" s="6"/>
    </row>
    <row r="750" spans="2:2" ht="14.25" customHeight="1" x14ac:dyDescent="0.25">
      <c r="B750" s="6"/>
    </row>
    <row r="751" spans="2:2" ht="14.25" customHeight="1" x14ac:dyDescent="0.25">
      <c r="B751" s="6"/>
    </row>
    <row r="752" spans="2:2" ht="14.25" customHeight="1" x14ac:dyDescent="0.25">
      <c r="B752" s="6"/>
    </row>
    <row r="753" spans="2:2" ht="14.25" customHeight="1" x14ac:dyDescent="0.25">
      <c r="B753" s="6"/>
    </row>
    <row r="754" spans="2:2" ht="14.25" customHeight="1" x14ac:dyDescent="0.25">
      <c r="B754" s="6"/>
    </row>
    <row r="755" spans="2:2" ht="14.25" customHeight="1" x14ac:dyDescent="0.25">
      <c r="B755" s="6"/>
    </row>
    <row r="756" spans="2:2" ht="14.25" customHeight="1" x14ac:dyDescent="0.25">
      <c r="B756" s="6"/>
    </row>
    <row r="757" spans="2:2" ht="14.25" customHeight="1" x14ac:dyDescent="0.25">
      <c r="B757" s="6"/>
    </row>
    <row r="758" spans="2:2" ht="14.25" customHeight="1" x14ac:dyDescent="0.25">
      <c r="B758" s="6"/>
    </row>
    <row r="759" spans="2:2" ht="14.25" customHeight="1" x14ac:dyDescent="0.25">
      <c r="B759" s="6"/>
    </row>
    <row r="760" spans="2:2" ht="14.25" customHeight="1" x14ac:dyDescent="0.25">
      <c r="B760" s="6"/>
    </row>
    <row r="761" spans="2:2" ht="14.25" customHeight="1" x14ac:dyDescent="0.25">
      <c r="B761" s="6"/>
    </row>
    <row r="762" spans="2:2" ht="14.25" customHeight="1" x14ac:dyDescent="0.25">
      <c r="B762" s="6"/>
    </row>
    <row r="763" spans="2:2" ht="14.25" customHeight="1" x14ac:dyDescent="0.25">
      <c r="B763" s="6"/>
    </row>
    <row r="764" spans="2:2" ht="14.25" customHeight="1" x14ac:dyDescent="0.25">
      <c r="B764" s="6"/>
    </row>
    <row r="765" spans="2:2" ht="14.25" customHeight="1" x14ac:dyDescent="0.25">
      <c r="B765" s="6"/>
    </row>
    <row r="766" spans="2:2" ht="14.25" customHeight="1" x14ac:dyDescent="0.25">
      <c r="B766" s="6"/>
    </row>
    <row r="767" spans="2:2" ht="14.25" customHeight="1" x14ac:dyDescent="0.25">
      <c r="B767" s="6"/>
    </row>
    <row r="768" spans="2:2" ht="14.25" customHeight="1" x14ac:dyDescent="0.25">
      <c r="B768" s="6"/>
    </row>
    <row r="769" spans="2:2" ht="14.25" customHeight="1" x14ac:dyDescent="0.25">
      <c r="B769" s="6"/>
    </row>
    <row r="770" spans="2:2" ht="14.25" customHeight="1" x14ac:dyDescent="0.25">
      <c r="B770" s="6"/>
    </row>
    <row r="771" spans="2:2" ht="14.25" customHeight="1" x14ac:dyDescent="0.25">
      <c r="B771" s="6"/>
    </row>
    <row r="772" spans="2:2" ht="14.25" customHeight="1" x14ac:dyDescent="0.25">
      <c r="B772" s="6"/>
    </row>
    <row r="773" spans="2:2" ht="14.25" customHeight="1" x14ac:dyDescent="0.25">
      <c r="B773" s="6"/>
    </row>
    <row r="774" spans="2:2" ht="14.25" customHeight="1" x14ac:dyDescent="0.25">
      <c r="B774" s="6"/>
    </row>
    <row r="775" spans="2:2" ht="14.25" customHeight="1" x14ac:dyDescent="0.25">
      <c r="B775" s="6"/>
    </row>
    <row r="776" spans="2:2" ht="14.25" customHeight="1" x14ac:dyDescent="0.25">
      <c r="B776" s="6"/>
    </row>
    <row r="777" spans="2:2" ht="14.25" customHeight="1" x14ac:dyDescent="0.25">
      <c r="B777" s="6"/>
    </row>
    <row r="778" spans="2:2" ht="14.25" customHeight="1" x14ac:dyDescent="0.25">
      <c r="B778" s="6"/>
    </row>
    <row r="779" spans="2:2" ht="14.25" customHeight="1" x14ac:dyDescent="0.25">
      <c r="B779" s="6"/>
    </row>
    <row r="780" spans="2:2" ht="14.25" customHeight="1" x14ac:dyDescent="0.25">
      <c r="B780" s="6"/>
    </row>
    <row r="781" spans="2:2" ht="14.25" customHeight="1" x14ac:dyDescent="0.25">
      <c r="B781" s="6"/>
    </row>
    <row r="782" spans="2:2" ht="14.25" customHeight="1" x14ac:dyDescent="0.25">
      <c r="B782" s="6"/>
    </row>
    <row r="783" spans="2:2" ht="14.25" customHeight="1" x14ac:dyDescent="0.25">
      <c r="B783" s="6"/>
    </row>
    <row r="784" spans="2:2" ht="14.25" customHeight="1" x14ac:dyDescent="0.25">
      <c r="B784" s="6"/>
    </row>
    <row r="785" spans="2:2" ht="14.25" customHeight="1" x14ac:dyDescent="0.25">
      <c r="B785" s="6"/>
    </row>
    <row r="786" spans="2:2" ht="14.25" customHeight="1" x14ac:dyDescent="0.25">
      <c r="B786" s="6"/>
    </row>
    <row r="787" spans="2:2" ht="14.25" customHeight="1" x14ac:dyDescent="0.25">
      <c r="B787" s="6"/>
    </row>
    <row r="788" spans="2:2" ht="14.25" customHeight="1" x14ac:dyDescent="0.25">
      <c r="B788" s="6"/>
    </row>
    <row r="789" spans="2:2" ht="14.25" customHeight="1" x14ac:dyDescent="0.25">
      <c r="B789" s="6"/>
    </row>
    <row r="790" spans="2:2" ht="14.25" customHeight="1" x14ac:dyDescent="0.25">
      <c r="B790" s="6"/>
    </row>
    <row r="791" spans="2:2" ht="14.25" customHeight="1" x14ac:dyDescent="0.25">
      <c r="B791" s="6"/>
    </row>
    <row r="792" spans="2:2" ht="14.25" customHeight="1" x14ac:dyDescent="0.25">
      <c r="B792" s="6"/>
    </row>
    <row r="793" spans="2:2" ht="14.25" customHeight="1" x14ac:dyDescent="0.25">
      <c r="B793" s="6"/>
    </row>
    <row r="794" spans="2:2" ht="14.25" customHeight="1" x14ac:dyDescent="0.25">
      <c r="B794" s="6"/>
    </row>
    <row r="795" spans="2:2" ht="14.25" customHeight="1" x14ac:dyDescent="0.25">
      <c r="B795" s="6"/>
    </row>
    <row r="796" spans="2:2" ht="14.25" customHeight="1" x14ac:dyDescent="0.25">
      <c r="B796" s="6"/>
    </row>
    <row r="797" spans="2:2" ht="14.25" customHeight="1" x14ac:dyDescent="0.25">
      <c r="B797" s="6"/>
    </row>
    <row r="798" spans="2:2" ht="14.25" customHeight="1" x14ac:dyDescent="0.25">
      <c r="B798" s="6"/>
    </row>
    <row r="799" spans="2:2" ht="14.25" customHeight="1" x14ac:dyDescent="0.25">
      <c r="B799" s="6"/>
    </row>
    <row r="800" spans="2:2" ht="14.25" customHeight="1" x14ac:dyDescent="0.25">
      <c r="B800" s="6"/>
    </row>
    <row r="801" spans="2:2" ht="14.25" customHeight="1" x14ac:dyDescent="0.25">
      <c r="B801" s="6"/>
    </row>
    <row r="802" spans="2:2" ht="14.25" customHeight="1" x14ac:dyDescent="0.25">
      <c r="B802" s="6"/>
    </row>
    <row r="803" spans="2:2" ht="14.25" customHeight="1" x14ac:dyDescent="0.25">
      <c r="B803" s="6"/>
    </row>
    <row r="804" spans="2:2" ht="14.25" customHeight="1" x14ac:dyDescent="0.25">
      <c r="B804" s="6"/>
    </row>
    <row r="805" spans="2:2" ht="14.25" customHeight="1" x14ac:dyDescent="0.25">
      <c r="B805" s="6"/>
    </row>
    <row r="806" spans="2:2" ht="14.25" customHeight="1" x14ac:dyDescent="0.25">
      <c r="B806" s="6"/>
    </row>
    <row r="807" spans="2:2" ht="14.25" customHeight="1" x14ac:dyDescent="0.25">
      <c r="B807" s="6"/>
    </row>
    <row r="808" spans="2:2" ht="14.25" customHeight="1" x14ac:dyDescent="0.25">
      <c r="B808" s="6"/>
    </row>
    <row r="809" spans="2:2" ht="14.25" customHeight="1" x14ac:dyDescent="0.25">
      <c r="B809" s="6"/>
    </row>
    <row r="810" spans="2:2" ht="14.25" customHeight="1" x14ac:dyDescent="0.25">
      <c r="B810" s="6"/>
    </row>
    <row r="811" spans="2:2" ht="14.25" customHeight="1" x14ac:dyDescent="0.25">
      <c r="B811" s="6"/>
    </row>
    <row r="812" spans="2:2" ht="14.25" customHeight="1" x14ac:dyDescent="0.25">
      <c r="B812" s="6"/>
    </row>
    <row r="813" spans="2:2" ht="14.25" customHeight="1" x14ac:dyDescent="0.25">
      <c r="B813" s="6"/>
    </row>
    <row r="814" spans="2:2" ht="14.25" customHeight="1" x14ac:dyDescent="0.25">
      <c r="B814" s="6"/>
    </row>
    <row r="815" spans="2:2" ht="14.25" customHeight="1" x14ac:dyDescent="0.25">
      <c r="B815" s="6"/>
    </row>
    <row r="816" spans="2:2" ht="14.25" customHeight="1" x14ac:dyDescent="0.25">
      <c r="B816" s="6"/>
    </row>
    <row r="817" spans="2:2" ht="14.25" customHeight="1" x14ac:dyDescent="0.25">
      <c r="B817" s="6"/>
    </row>
    <row r="818" spans="2:2" ht="14.25" customHeight="1" x14ac:dyDescent="0.25">
      <c r="B818" s="6"/>
    </row>
    <row r="819" spans="2:2" ht="14.25" customHeight="1" x14ac:dyDescent="0.25">
      <c r="B819" s="6"/>
    </row>
    <row r="820" spans="2:2" ht="14.25" customHeight="1" x14ac:dyDescent="0.25">
      <c r="B820" s="6"/>
    </row>
    <row r="821" spans="2:2" ht="14.25" customHeight="1" x14ac:dyDescent="0.25">
      <c r="B821" s="6"/>
    </row>
    <row r="822" spans="2:2" ht="14.25" customHeight="1" x14ac:dyDescent="0.25">
      <c r="B822" s="6"/>
    </row>
    <row r="823" spans="2:2" ht="14.25" customHeight="1" x14ac:dyDescent="0.25">
      <c r="B823" s="6"/>
    </row>
    <row r="824" spans="2:2" ht="14.25" customHeight="1" x14ac:dyDescent="0.25">
      <c r="B824" s="6"/>
    </row>
    <row r="825" spans="2:2" ht="14.25" customHeight="1" x14ac:dyDescent="0.25">
      <c r="B825" s="6"/>
    </row>
    <row r="826" spans="2:2" ht="14.25" customHeight="1" x14ac:dyDescent="0.25">
      <c r="B826" s="6"/>
    </row>
    <row r="827" spans="2:2" ht="14.25" customHeight="1" x14ac:dyDescent="0.25">
      <c r="B827" s="6"/>
    </row>
    <row r="828" spans="2:2" ht="14.25" customHeight="1" x14ac:dyDescent="0.25">
      <c r="B828" s="6"/>
    </row>
    <row r="829" spans="2:2" ht="14.25" customHeight="1" x14ac:dyDescent="0.25">
      <c r="B829" s="6"/>
    </row>
    <row r="830" spans="2:2" ht="14.25" customHeight="1" x14ac:dyDescent="0.25">
      <c r="B830" s="6"/>
    </row>
    <row r="831" spans="2:2" ht="14.25" customHeight="1" x14ac:dyDescent="0.25">
      <c r="B831" s="6"/>
    </row>
    <row r="832" spans="2:2" ht="14.25" customHeight="1" x14ac:dyDescent="0.25">
      <c r="B832" s="6"/>
    </row>
    <row r="833" spans="2:2" ht="14.25" customHeight="1" x14ac:dyDescent="0.25">
      <c r="B833" s="6"/>
    </row>
    <row r="834" spans="2:2" ht="14.25" customHeight="1" x14ac:dyDescent="0.25">
      <c r="B834" s="6"/>
    </row>
    <row r="835" spans="2:2" ht="14.25" customHeight="1" x14ac:dyDescent="0.25">
      <c r="B835" s="6"/>
    </row>
    <row r="836" spans="2:2" ht="14.25" customHeight="1" x14ac:dyDescent="0.25">
      <c r="B836" s="6"/>
    </row>
    <row r="837" spans="2:2" ht="14.25" customHeight="1" x14ac:dyDescent="0.25">
      <c r="B837" s="6"/>
    </row>
    <row r="838" spans="2:2" ht="14.25" customHeight="1" x14ac:dyDescent="0.25">
      <c r="B838" s="6"/>
    </row>
    <row r="839" spans="2:2" ht="14.25" customHeight="1" x14ac:dyDescent="0.25">
      <c r="B839" s="6"/>
    </row>
    <row r="840" spans="2:2" ht="14.25" customHeight="1" x14ac:dyDescent="0.25">
      <c r="B840" s="6"/>
    </row>
    <row r="841" spans="2:2" ht="14.25" customHeight="1" x14ac:dyDescent="0.25">
      <c r="B841" s="6"/>
    </row>
    <row r="842" spans="2:2" ht="14.25" customHeight="1" x14ac:dyDescent="0.25">
      <c r="B842" s="6"/>
    </row>
    <row r="843" spans="2:2" ht="14.25" customHeight="1" x14ac:dyDescent="0.25">
      <c r="B843" s="6"/>
    </row>
    <row r="844" spans="2:2" ht="14.25" customHeight="1" x14ac:dyDescent="0.25">
      <c r="B844" s="6"/>
    </row>
    <row r="845" spans="2:2" ht="14.25" customHeight="1" x14ac:dyDescent="0.25">
      <c r="B845" s="6"/>
    </row>
    <row r="846" spans="2:2" ht="14.25" customHeight="1" x14ac:dyDescent="0.25">
      <c r="B846" s="6"/>
    </row>
    <row r="847" spans="2:2" ht="14.25" customHeight="1" x14ac:dyDescent="0.25">
      <c r="B847" s="6"/>
    </row>
    <row r="848" spans="2:2" ht="14.25" customHeight="1" x14ac:dyDescent="0.25">
      <c r="B848" s="6"/>
    </row>
    <row r="849" spans="2:2" ht="14.25" customHeight="1" x14ac:dyDescent="0.25">
      <c r="B849" s="6"/>
    </row>
    <row r="850" spans="2:2" ht="14.25" customHeight="1" x14ac:dyDescent="0.25">
      <c r="B850" s="6"/>
    </row>
    <row r="851" spans="2:2" ht="14.25" customHeight="1" x14ac:dyDescent="0.25">
      <c r="B851" s="6"/>
    </row>
    <row r="852" spans="2:2" ht="14.25" customHeight="1" x14ac:dyDescent="0.25">
      <c r="B852" s="6"/>
    </row>
    <row r="853" spans="2:2" ht="14.25" customHeight="1" x14ac:dyDescent="0.25">
      <c r="B853" s="6"/>
    </row>
    <row r="854" spans="2:2" ht="14.25" customHeight="1" x14ac:dyDescent="0.25">
      <c r="B854" s="6"/>
    </row>
    <row r="855" spans="2:2" ht="14.25" customHeight="1" x14ac:dyDescent="0.25">
      <c r="B855" s="6"/>
    </row>
    <row r="856" spans="2:2" ht="14.25" customHeight="1" x14ac:dyDescent="0.25">
      <c r="B856" s="6"/>
    </row>
    <row r="857" spans="2:2" ht="14.25" customHeight="1" x14ac:dyDescent="0.25">
      <c r="B857" s="6"/>
    </row>
    <row r="858" spans="2:2" ht="14.25" customHeight="1" x14ac:dyDescent="0.25">
      <c r="B858" s="6"/>
    </row>
    <row r="859" spans="2:2" ht="14.25" customHeight="1" x14ac:dyDescent="0.25">
      <c r="B859" s="6"/>
    </row>
    <row r="860" spans="2:2" ht="14.25" customHeight="1" x14ac:dyDescent="0.25">
      <c r="B860" s="6"/>
    </row>
    <row r="861" spans="2:2" ht="14.25" customHeight="1" x14ac:dyDescent="0.25">
      <c r="B861" s="6"/>
    </row>
    <row r="862" spans="2:2" ht="14.25" customHeight="1" x14ac:dyDescent="0.25">
      <c r="B862" s="6"/>
    </row>
    <row r="863" spans="2:2" ht="14.25" customHeight="1" x14ac:dyDescent="0.25">
      <c r="B863" s="6"/>
    </row>
    <row r="864" spans="2:2" ht="14.25" customHeight="1" x14ac:dyDescent="0.25">
      <c r="B864" s="6"/>
    </row>
    <row r="865" spans="2:2" ht="14.25" customHeight="1" x14ac:dyDescent="0.25">
      <c r="B865" s="6"/>
    </row>
    <row r="866" spans="2:2" ht="14.25" customHeight="1" x14ac:dyDescent="0.25">
      <c r="B866" s="6"/>
    </row>
    <row r="867" spans="2:2" ht="14.25" customHeight="1" x14ac:dyDescent="0.25">
      <c r="B867" s="6"/>
    </row>
    <row r="868" spans="2:2" ht="14.25" customHeight="1" x14ac:dyDescent="0.25">
      <c r="B868" s="6"/>
    </row>
    <row r="869" spans="2:2" ht="14.25" customHeight="1" x14ac:dyDescent="0.25">
      <c r="B869" s="6"/>
    </row>
    <row r="870" spans="2:2" ht="14.25" customHeight="1" x14ac:dyDescent="0.25">
      <c r="B870" s="6"/>
    </row>
    <row r="871" spans="2:2" ht="14.25" customHeight="1" x14ac:dyDescent="0.25">
      <c r="B871" s="6"/>
    </row>
    <row r="872" spans="2:2" ht="14.25" customHeight="1" x14ac:dyDescent="0.25">
      <c r="B872" s="6"/>
    </row>
    <row r="873" spans="2:2" ht="14.25" customHeight="1" x14ac:dyDescent="0.25">
      <c r="B873" s="6"/>
    </row>
    <row r="874" spans="2:2" ht="14.25" customHeight="1" x14ac:dyDescent="0.25">
      <c r="B874" s="6"/>
    </row>
    <row r="875" spans="2:2" ht="14.25" customHeight="1" x14ac:dyDescent="0.25">
      <c r="B875" s="6"/>
    </row>
    <row r="876" spans="2:2" ht="14.25" customHeight="1" x14ac:dyDescent="0.25">
      <c r="B876" s="6"/>
    </row>
    <row r="877" spans="2:2" ht="14.25" customHeight="1" x14ac:dyDescent="0.25">
      <c r="B877" s="6"/>
    </row>
    <row r="878" spans="2:2" ht="14.25" customHeight="1" x14ac:dyDescent="0.25">
      <c r="B878" s="6"/>
    </row>
    <row r="879" spans="2:2" ht="14.25" customHeight="1" x14ac:dyDescent="0.25">
      <c r="B879" s="6"/>
    </row>
    <row r="880" spans="2:2" ht="14.25" customHeight="1" x14ac:dyDescent="0.25">
      <c r="B880" s="6"/>
    </row>
    <row r="881" spans="2:2" ht="14.25" customHeight="1" x14ac:dyDescent="0.25">
      <c r="B881" s="6"/>
    </row>
    <row r="882" spans="2:2" ht="14.25" customHeight="1" x14ac:dyDescent="0.25">
      <c r="B882" s="6"/>
    </row>
    <row r="883" spans="2:2" ht="14.25" customHeight="1" x14ac:dyDescent="0.25">
      <c r="B883" s="6"/>
    </row>
    <row r="884" spans="2:2" ht="14.25" customHeight="1" x14ac:dyDescent="0.25">
      <c r="B884" s="6"/>
    </row>
    <row r="885" spans="2:2" ht="14.25" customHeight="1" x14ac:dyDescent="0.25">
      <c r="B885" s="6"/>
    </row>
    <row r="886" spans="2:2" ht="14.25" customHeight="1" x14ac:dyDescent="0.25">
      <c r="B886" s="6"/>
    </row>
    <row r="887" spans="2:2" ht="14.25" customHeight="1" x14ac:dyDescent="0.25">
      <c r="B887" s="6"/>
    </row>
    <row r="888" spans="2:2" ht="14.25" customHeight="1" x14ac:dyDescent="0.25">
      <c r="B888" s="6"/>
    </row>
    <row r="889" spans="2:2" ht="14.25" customHeight="1" x14ac:dyDescent="0.25">
      <c r="B889" s="6"/>
    </row>
    <row r="890" spans="2:2" ht="14.25" customHeight="1" x14ac:dyDescent="0.25">
      <c r="B890" s="6"/>
    </row>
    <row r="891" spans="2:2" ht="14.25" customHeight="1" x14ac:dyDescent="0.25">
      <c r="B891" s="6"/>
    </row>
    <row r="892" spans="2:2" ht="14.25" customHeight="1" x14ac:dyDescent="0.25">
      <c r="B892" s="6"/>
    </row>
    <row r="893" spans="2:2" ht="14.25" customHeight="1" x14ac:dyDescent="0.25">
      <c r="B893" s="6"/>
    </row>
    <row r="894" spans="2:2" ht="14.25" customHeight="1" x14ac:dyDescent="0.25">
      <c r="B894" s="6"/>
    </row>
    <row r="895" spans="2:2" ht="14.25" customHeight="1" x14ac:dyDescent="0.25">
      <c r="B895" s="6"/>
    </row>
    <row r="896" spans="2:2" ht="14.25" customHeight="1" x14ac:dyDescent="0.25">
      <c r="B896" s="6"/>
    </row>
    <row r="897" spans="2:2" ht="14.25" customHeight="1" x14ac:dyDescent="0.25">
      <c r="B897" s="6"/>
    </row>
    <row r="898" spans="2:2" ht="14.25" customHeight="1" x14ac:dyDescent="0.25">
      <c r="B898" s="6"/>
    </row>
    <row r="899" spans="2:2" ht="14.25" customHeight="1" x14ac:dyDescent="0.25">
      <c r="B899" s="6"/>
    </row>
    <row r="900" spans="2:2" ht="14.25" customHeight="1" x14ac:dyDescent="0.25">
      <c r="B900" s="6"/>
    </row>
    <row r="901" spans="2:2" ht="14.25" customHeight="1" x14ac:dyDescent="0.25">
      <c r="B901" s="6"/>
    </row>
    <row r="902" spans="2:2" ht="14.25" customHeight="1" x14ac:dyDescent="0.25">
      <c r="B902" s="6"/>
    </row>
    <row r="903" spans="2:2" ht="14.25" customHeight="1" x14ac:dyDescent="0.25">
      <c r="B903" s="6"/>
    </row>
    <row r="904" spans="2:2" ht="14.25" customHeight="1" x14ac:dyDescent="0.25">
      <c r="B904" s="6"/>
    </row>
    <row r="905" spans="2:2" ht="14.25" customHeight="1" x14ac:dyDescent="0.25">
      <c r="B905" s="6"/>
    </row>
    <row r="906" spans="2:2" ht="14.25" customHeight="1" x14ac:dyDescent="0.25">
      <c r="B906" s="6"/>
    </row>
    <row r="907" spans="2:2" ht="14.25" customHeight="1" x14ac:dyDescent="0.25">
      <c r="B907" s="6"/>
    </row>
    <row r="908" spans="2:2" ht="14.25" customHeight="1" x14ac:dyDescent="0.25">
      <c r="B908" s="6"/>
    </row>
    <row r="909" spans="2:2" ht="14.25" customHeight="1" x14ac:dyDescent="0.25">
      <c r="B909" s="6"/>
    </row>
    <row r="910" spans="2:2" ht="14.25" customHeight="1" x14ac:dyDescent="0.25">
      <c r="B910" s="6"/>
    </row>
    <row r="911" spans="2:2" ht="14.25" customHeight="1" x14ac:dyDescent="0.25">
      <c r="B911" s="6"/>
    </row>
    <row r="912" spans="2:2" ht="14.25" customHeight="1" x14ac:dyDescent="0.25">
      <c r="B912" s="6"/>
    </row>
    <row r="913" spans="2:2" ht="14.25" customHeight="1" x14ac:dyDescent="0.25">
      <c r="B913" s="6"/>
    </row>
    <row r="914" spans="2:2" ht="14.25" customHeight="1" x14ac:dyDescent="0.25">
      <c r="B914" s="6"/>
    </row>
    <row r="915" spans="2:2" ht="14.25" customHeight="1" x14ac:dyDescent="0.25">
      <c r="B915" s="6"/>
    </row>
    <row r="916" spans="2:2" ht="14.25" customHeight="1" x14ac:dyDescent="0.25">
      <c r="B916" s="6"/>
    </row>
    <row r="917" spans="2:2" ht="14.25" customHeight="1" x14ac:dyDescent="0.25">
      <c r="B917" s="6"/>
    </row>
    <row r="918" spans="2:2" ht="14.25" customHeight="1" x14ac:dyDescent="0.25">
      <c r="B918" s="6"/>
    </row>
    <row r="919" spans="2:2" ht="14.25" customHeight="1" x14ac:dyDescent="0.25">
      <c r="B919" s="6"/>
    </row>
    <row r="920" spans="2:2" ht="14.25" customHeight="1" x14ac:dyDescent="0.25">
      <c r="B920" s="6"/>
    </row>
    <row r="921" spans="2:2" ht="14.25" customHeight="1" x14ac:dyDescent="0.25">
      <c r="B921" s="6"/>
    </row>
    <row r="922" spans="2:2" ht="14.25" customHeight="1" x14ac:dyDescent="0.25">
      <c r="B922" s="6"/>
    </row>
    <row r="923" spans="2:2" ht="14.25" customHeight="1" x14ac:dyDescent="0.25">
      <c r="B923" s="6"/>
    </row>
    <row r="924" spans="2:2" ht="14.25" customHeight="1" x14ac:dyDescent="0.25">
      <c r="B924" s="6"/>
    </row>
    <row r="925" spans="2:2" ht="14.25" customHeight="1" x14ac:dyDescent="0.25">
      <c r="B925" s="6"/>
    </row>
    <row r="926" spans="2:2" ht="14.25" customHeight="1" x14ac:dyDescent="0.25">
      <c r="B926" s="6"/>
    </row>
    <row r="927" spans="2:2" ht="14.25" customHeight="1" x14ac:dyDescent="0.25">
      <c r="B927" s="6"/>
    </row>
    <row r="928" spans="2:2" ht="14.25" customHeight="1" x14ac:dyDescent="0.25">
      <c r="B928" s="6"/>
    </row>
    <row r="929" spans="2:2" ht="14.25" customHeight="1" x14ac:dyDescent="0.25">
      <c r="B929" s="6"/>
    </row>
    <row r="930" spans="2:2" ht="14.25" customHeight="1" x14ac:dyDescent="0.25">
      <c r="B930" s="6"/>
    </row>
    <row r="931" spans="2:2" ht="14.25" customHeight="1" x14ac:dyDescent="0.25">
      <c r="B931" s="6"/>
    </row>
    <row r="932" spans="2:2" ht="14.25" customHeight="1" x14ac:dyDescent="0.25">
      <c r="B932" s="6"/>
    </row>
    <row r="933" spans="2:2" ht="14.25" customHeight="1" x14ac:dyDescent="0.25">
      <c r="B933" s="6"/>
    </row>
    <row r="934" spans="2:2" ht="14.25" customHeight="1" x14ac:dyDescent="0.25">
      <c r="B934" s="6"/>
    </row>
    <row r="935" spans="2:2" ht="14.25" customHeight="1" x14ac:dyDescent="0.25">
      <c r="B935" s="6"/>
    </row>
    <row r="936" spans="2:2" ht="14.25" customHeight="1" x14ac:dyDescent="0.25">
      <c r="B936" s="6"/>
    </row>
    <row r="937" spans="2:2" ht="14.25" customHeight="1" x14ac:dyDescent="0.25">
      <c r="B937" s="6"/>
    </row>
    <row r="938" spans="2:2" ht="14.25" customHeight="1" x14ac:dyDescent="0.25">
      <c r="B938" s="6"/>
    </row>
    <row r="939" spans="2:2" ht="14.25" customHeight="1" x14ac:dyDescent="0.25">
      <c r="B939" s="6"/>
    </row>
    <row r="940" spans="2:2" ht="14.25" customHeight="1" x14ac:dyDescent="0.25">
      <c r="B940" s="6"/>
    </row>
    <row r="941" spans="2:2" ht="14.25" customHeight="1" x14ac:dyDescent="0.25">
      <c r="B941" s="6"/>
    </row>
    <row r="942" spans="2:2" ht="14.25" customHeight="1" x14ac:dyDescent="0.25">
      <c r="B942" s="6"/>
    </row>
    <row r="943" spans="2:2" ht="14.25" customHeight="1" x14ac:dyDescent="0.25">
      <c r="B943" s="6"/>
    </row>
    <row r="944" spans="2:2" ht="14.25" customHeight="1" x14ac:dyDescent="0.25">
      <c r="B944" s="6"/>
    </row>
    <row r="945" spans="2:2" ht="14.25" customHeight="1" x14ac:dyDescent="0.25">
      <c r="B945" s="6"/>
    </row>
    <row r="946" spans="2:2" ht="14.25" customHeight="1" x14ac:dyDescent="0.25">
      <c r="B946" s="6"/>
    </row>
    <row r="947" spans="2:2" ht="14.25" customHeight="1" x14ac:dyDescent="0.25">
      <c r="B947" s="6"/>
    </row>
    <row r="948" spans="2:2" ht="14.25" customHeight="1" x14ac:dyDescent="0.25">
      <c r="B948" s="6"/>
    </row>
    <row r="949" spans="2:2" ht="14.25" customHeight="1" x14ac:dyDescent="0.25">
      <c r="B949" s="6"/>
    </row>
    <row r="950" spans="2:2" ht="14.25" customHeight="1" x14ac:dyDescent="0.25">
      <c r="B950" s="6"/>
    </row>
    <row r="951" spans="2:2" ht="14.25" customHeight="1" x14ac:dyDescent="0.25">
      <c r="B951" s="6"/>
    </row>
    <row r="952" spans="2:2" ht="14.25" customHeight="1" x14ac:dyDescent="0.25">
      <c r="B952" s="6"/>
    </row>
    <row r="953" spans="2:2" ht="14.25" customHeight="1" x14ac:dyDescent="0.25">
      <c r="B953" s="6"/>
    </row>
    <row r="954" spans="2:2" ht="14.25" customHeight="1" x14ac:dyDescent="0.25">
      <c r="B954" s="6"/>
    </row>
    <row r="955" spans="2:2" ht="14.25" customHeight="1" x14ac:dyDescent="0.25">
      <c r="B955" s="6"/>
    </row>
    <row r="956" spans="2:2" ht="14.25" customHeight="1" x14ac:dyDescent="0.25">
      <c r="B956" s="6"/>
    </row>
    <row r="957" spans="2:2" ht="14.25" customHeight="1" x14ac:dyDescent="0.25">
      <c r="B957" s="6"/>
    </row>
    <row r="958" spans="2:2" ht="14.25" customHeight="1" x14ac:dyDescent="0.25">
      <c r="B958" s="6"/>
    </row>
    <row r="959" spans="2:2" ht="14.25" customHeight="1" x14ac:dyDescent="0.25">
      <c r="B959" s="6"/>
    </row>
    <row r="960" spans="2:2" ht="14.25" customHeight="1" x14ac:dyDescent="0.25">
      <c r="B960" s="6"/>
    </row>
    <row r="961" spans="2:2" ht="14.25" customHeight="1" x14ac:dyDescent="0.25">
      <c r="B961" s="6"/>
    </row>
    <row r="962" spans="2:2" ht="14.25" customHeight="1" x14ac:dyDescent="0.25">
      <c r="B962" s="6"/>
    </row>
    <row r="963" spans="2:2" ht="14.25" customHeight="1" x14ac:dyDescent="0.25">
      <c r="B963" s="6"/>
    </row>
    <row r="964" spans="2:2" ht="14.25" customHeight="1" x14ac:dyDescent="0.25">
      <c r="B964" s="6"/>
    </row>
    <row r="965" spans="2:2" ht="14.25" customHeight="1" x14ac:dyDescent="0.25">
      <c r="B965" s="6"/>
    </row>
    <row r="966" spans="2:2" ht="14.25" customHeight="1" x14ac:dyDescent="0.25">
      <c r="B966" s="6"/>
    </row>
    <row r="967" spans="2:2" ht="14.25" customHeight="1" x14ac:dyDescent="0.25">
      <c r="B967" s="6"/>
    </row>
    <row r="968" spans="2:2" ht="14.25" customHeight="1" x14ac:dyDescent="0.25">
      <c r="B968" s="6"/>
    </row>
    <row r="969" spans="2:2" ht="14.25" customHeight="1" x14ac:dyDescent="0.25">
      <c r="B969" s="6"/>
    </row>
    <row r="970" spans="2:2" ht="14.25" customHeight="1" x14ac:dyDescent="0.25">
      <c r="B970" s="6"/>
    </row>
    <row r="971" spans="2:2" ht="14.25" customHeight="1" x14ac:dyDescent="0.25">
      <c r="B971" s="6"/>
    </row>
    <row r="972" spans="2:2" ht="14.25" customHeight="1" x14ac:dyDescent="0.25">
      <c r="B972" s="6"/>
    </row>
    <row r="973" spans="2:2" ht="14.25" customHeight="1" x14ac:dyDescent="0.25">
      <c r="B973" s="6"/>
    </row>
    <row r="974" spans="2:2" ht="14.25" customHeight="1" x14ac:dyDescent="0.25">
      <c r="B974" s="6"/>
    </row>
    <row r="975" spans="2:2" ht="14.25" customHeight="1" x14ac:dyDescent="0.25">
      <c r="B975" s="6"/>
    </row>
    <row r="976" spans="2:2" ht="14.25" customHeight="1" x14ac:dyDescent="0.25">
      <c r="B976" s="6"/>
    </row>
    <row r="977" spans="2:2" ht="14.25" customHeight="1" x14ac:dyDescent="0.25">
      <c r="B977" s="6"/>
    </row>
    <row r="978" spans="2:2" ht="14.25" customHeight="1" x14ac:dyDescent="0.25">
      <c r="B978" s="6"/>
    </row>
    <row r="979" spans="2:2" ht="14.25" customHeight="1" x14ac:dyDescent="0.25">
      <c r="B979" s="6"/>
    </row>
    <row r="980" spans="2:2" ht="14.25" customHeight="1" x14ac:dyDescent="0.25">
      <c r="B980" s="6"/>
    </row>
    <row r="981" spans="2:2" ht="14.25" customHeight="1" x14ac:dyDescent="0.25">
      <c r="B981" s="6"/>
    </row>
    <row r="982" spans="2:2" ht="14.25" customHeight="1" x14ac:dyDescent="0.25">
      <c r="B982" s="6"/>
    </row>
    <row r="983" spans="2:2" ht="14.25" customHeight="1" x14ac:dyDescent="0.25">
      <c r="B983" s="6"/>
    </row>
    <row r="984" spans="2:2" ht="14.25" customHeight="1" x14ac:dyDescent="0.25">
      <c r="B984" s="6"/>
    </row>
    <row r="985" spans="2:2" ht="14.25" customHeight="1" x14ac:dyDescent="0.25">
      <c r="B985" s="6"/>
    </row>
    <row r="986" spans="2:2" ht="14.25" customHeight="1" x14ac:dyDescent="0.25">
      <c r="B986" s="6"/>
    </row>
    <row r="987" spans="2:2" ht="14.25" customHeight="1" x14ac:dyDescent="0.25">
      <c r="B987" s="6"/>
    </row>
    <row r="988" spans="2:2" ht="14.25" customHeight="1" x14ac:dyDescent="0.25">
      <c r="B988" s="6"/>
    </row>
    <row r="989" spans="2:2" ht="14.25" customHeight="1" x14ac:dyDescent="0.25">
      <c r="B989" s="6"/>
    </row>
    <row r="990" spans="2:2" ht="14.25" customHeight="1" x14ac:dyDescent="0.25">
      <c r="B990" s="6"/>
    </row>
    <row r="991" spans="2:2" ht="14.25" customHeight="1" x14ac:dyDescent="0.25">
      <c r="B991" s="6"/>
    </row>
    <row r="992" spans="2:2" ht="14.25" customHeight="1" x14ac:dyDescent="0.25">
      <c r="B992" s="6"/>
    </row>
    <row r="993" spans="2:2" ht="14.25" customHeight="1" x14ac:dyDescent="0.25">
      <c r="B993" s="6"/>
    </row>
    <row r="994" spans="2:2" ht="14.25" customHeight="1" x14ac:dyDescent="0.25">
      <c r="B994" s="6"/>
    </row>
    <row r="995" spans="2:2" ht="14.25" customHeight="1" x14ac:dyDescent="0.25">
      <c r="B995" s="6"/>
    </row>
    <row r="996" spans="2:2" ht="14.25" customHeight="1" x14ac:dyDescent="0.25">
      <c r="B996" s="6"/>
    </row>
    <row r="997" spans="2:2" ht="14.25" customHeight="1" x14ac:dyDescent="0.25">
      <c r="B997" s="6"/>
    </row>
    <row r="998" spans="2:2" ht="14.25" customHeight="1" x14ac:dyDescent="0.25">
      <c r="B998" s="6"/>
    </row>
    <row r="999" spans="2:2" ht="14.25" customHeight="1" x14ac:dyDescent="0.25">
      <c r="B999" s="6"/>
    </row>
    <row r="1000" spans="2:2" ht="14.25" customHeight="1" x14ac:dyDescent="0.25">
      <c r="B1000" s="6"/>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1</vt:lpstr>
      <vt:lpstr>pivot2</vt:lpstr>
      <vt:lpstr>Dashboard</vt:lpstr>
      <vt:lpstr>Eurovision Imaging Ltd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Chiamaka Nwokafor</cp:lastModifiedBy>
  <dcterms:created xsi:type="dcterms:W3CDTF">2026-02-25T08:11:11Z</dcterms:created>
  <dcterms:modified xsi:type="dcterms:W3CDTF">2026-06-30T14:44:39Z</dcterms:modified>
</cp:coreProperties>
</file>